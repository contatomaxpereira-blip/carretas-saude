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Lote 1 - Mamografia" sheetId="2" state="visible" r:id="rId4"/>
    <sheet name="Lote 2 - Consultas" sheetId="3" state="visible" r:id="rId5"/>
    <sheet name="Lote 3 - Exames" sheetId="4" state="visible" r:id="rId6"/>
    <sheet name="Lote 4 - Ressonancia" sheetId="5" state="visible" r:id="rId7"/>
    <sheet name="Lote 5 - Odontologia" sheetId="6" state="visible" r:id="rId8"/>
    <sheet name="Contratações de Referênci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<sst xmlns="http://schemas.openxmlformats.org/spreadsheetml/2006/main" count="971" uniqueCount="252">
  <si>
    <t xml:space="preserve">COTAÇÃO DE PREÇOS DE REFERÊNCIA – SERVIÇOS ESPECIALIZADOS EM SAÚDE EM UNIDADES MÓVEIS (Carretas)</t>
  </si>
  <si>
    <t xml:space="preserve">Pesquisa de preços – credenciamento de serviços especializados em saúde por meio de unidades móveis (Lei nº 14.133/2021, art. 23).</t>
  </si>
  <si>
    <t xml:space="preserve">Data da pesquisa: 07/10/2026. Valores em reais (R$), com todos os custos de mobilização, instalação, operação, equipe, insumos e laudos inclusos (TR, item 2.3.3).</t>
  </si>
  <si>
    <t xml:space="preserve">Lote</t>
  </si>
  <si>
    <t xml:space="preserve">Valor estimado do lote (R$)</t>
  </si>
  <si>
    <t xml:space="preserve">Lote 1 – Mamografia bilateral digital</t>
  </si>
  <si>
    <t xml:space="preserve">Lote 2 – Consultas médicas especializadas</t>
  </si>
  <si>
    <t xml:space="preserve">Lote 3 – Exames diagnósticos</t>
  </si>
  <si>
    <t xml:space="preserve">Lote 4 – Ressonância magnética</t>
  </si>
  <si>
    <t xml:space="preserve">Lote 5 – Atendimentos e procedimentos odontológicos</t>
  </si>
  <si>
    <t xml:space="preserve">VALOR GLOBAL ESTIMADO</t>
  </si>
  <si>
    <t xml:space="preserve">Metodologia: para cada item foram reunidos até três preços de contratações públicas (credenciamentos, pregões, atas de registro de preços, contratos e tabelas de credenciamento de órgãos e consórcios públicos), indicados nas colunas Fonte/Valor/Link de cada lote. O valor unitário de referência de cada item corresponde à MEDIANA dos preços coletados (Lei nº 14.133/2021, art. 23; IN SEGES/ME nº 65/2021, art. 6º), apresentada ao lado do menor preço, da média e do maior preço. Para os serviços com correspondente na Tabela de Serviços de Saúde executados em unidades móveis/itinerantes do ICISMEP (TSPS 2026), a mediana foi confrontada com o valor ICISMEP (coluna de diferença percentual), demonstrando que o valor de referência resultante das cotações é inferior ao praticado por aquele consórcio para o mesmo serviço. Itens marcados como 'análogo' usam procedimento equivalente quando não havia o item idêntico na fonte. Itens com menos de três preços estão sujeitos à justificativa prevista no art. 6º, §5º, da IN SEGES/ME nº 65/2021. Os quantitativos são estimativas do TR e não geram obrigação de execução.</t>
  </si>
  <si>
    <t xml:space="preserve">LOTE 1 – EXAMES DE MAMOGRAFIA BILATERAL (unidade móvel)</t>
  </si>
  <si>
    <t xml:space="preserve">Item</t>
  </si>
  <si>
    <t xml:space="preserve">Descrição</t>
  </si>
  <si>
    <t xml:space="preserve">Unid.</t>
  </si>
  <si>
    <t xml:space="preserve">Qtd. estimada</t>
  </si>
  <si>
    <t xml:space="preserve">Fonte 1</t>
  </si>
  <si>
    <t xml:space="preserve">Valor 1 (R$)</t>
  </si>
  <si>
    <t xml:space="preserve">Link 1</t>
  </si>
  <si>
    <t xml:space="preserve">Fonte 2</t>
  </si>
  <si>
    <t xml:space="preserve">Valor 2 (R$)</t>
  </si>
  <si>
    <t xml:space="preserve">Link 2</t>
  </si>
  <si>
    <t xml:space="preserve">Fonte 3</t>
  </si>
  <si>
    <t xml:space="preserve">Valor 3 (R$)</t>
  </si>
  <si>
    <t xml:space="preserve">Link 3</t>
  </si>
  <si>
    <t xml:space="preserve">Menor (R$)</t>
  </si>
  <si>
    <t xml:space="preserve">Média (R$)</t>
  </si>
  <si>
    <t xml:space="preserve">Mediana (R$)</t>
  </si>
  <si>
    <t xml:space="preserve">Maior (R$)</t>
  </si>
  <si>
    <t xml:space="preserve">Valor ICISMEP – TSPS 2026, serviço em unidade móvel/itinerante (R$)</t>
  </si>
  <si>
    <t xml:space="preserve">Teto de verificação: ICISMEP − 4% (R$)</t>
  </si>
  <si>
    <t xml:space="preserve">Valor unit. referência (R$)</t>
  </si>
  <si>
    <t xml:space="preserve">Diferença ref. x ICISMEP (%)</t>
  </si>
  <si>
    <t xml:space="preserve">Valor total estimado (R$)</t>
  </si>
  <si>
    <t xml:space="preserve">Exame de MAMOGRAFIA BILATERAL DIGITAL para rastreamento e/ou diagnóstico, em unidade móvel temporária</t>
  </si>
  <si>
    <t xml:space="preserve">Exame</t>
  </si>
  <si>
    <t xml:space="preserve">CIS Circuito das Águas/MG – Credenciamento 04/2025 (Proc. 054/2025), carreta itinerante</t>
  </si>
  <si>
    <t xml:space="preserve">https://pncp.gov.br/pncp-api/v1/orgaos/71203715000190/compras/2026/1/arquivos/1</t>
  </si>
  <si>
    <t xml:space="preserve">CIMINAS/MG – Termo de Contrato 741/2025 (Credenciamento 040/2025 – Sistema Carretas da Saúde), 30/09/2025 (pacote básico de mamografia em carreta (triagem + consulta ginecológica + mamografia bilateral com laudo))</t>
  </si>
  <si>
    <t xml:space="preserve">https://ciminas.mg.gov.br</t>
  </si>
  <si>
    <t xml:space="preserve">ICISMEP/MG – TSPS jan/2026, atualização II (Unidade Móvel Saúde da Mulher) (mamografia em unidade móvel)</t>
  </si>
  <si>
    <t xml:space="preserve">https://icismep.mg.gov.br/wp-content/uploads/2026/02/03.-TSPS-JANEIRO-DE-2026-ATUALIZACAO-II-1.pdf</t>
  </si>
  <si>
    <t xml:space="preserve">SUBTOTAL DO LOTE</t>
  </si>
  <si>
    <t xml:space="preserve">LOTE 2 – CONSULTAS MÉDICAS ESPECIALIZADAS (unidade móvel)</t>
  </si>
  <si>
    <t xml:space="preserve">Consulta especializada na área de ORTOPEDIA, em unidade móvel temporária</t>
  </si>
  <si>
    <t xml:space="preserve">Consulta</t>
  </si>
  <si>
    <t xml:space="preserve">SESA/ES – Credenciamento SRSV/NRA 001/2026 (consulta médica especializada adulto)</t>
  </si>
  <si>
    <t xml:space="preserve">https://saude.es.gov.br/Media/sesa/Credenciamento/EDITAL%20SESA-SRSV-NRA%20001-26.pdf</t>
  </si>
  <si>
    <t xml:space="preserve">CISAME/MG – Tabela de Preços e Serviços 2026 (Credenciamento 01/2025, Contrato 10/2026)</t>
  </si>
  <si>
    <t xml:space="preserve">https://www.cisame.mg.gov.br/compliance/tabela-de-precos-e-servicos/</t>
  </si>
  <si>
    <t xml:space="preserve">Pref. Iuiú/BA – Edital de Credenciamento 022/2026</t>
  </si>
  <si>
    <t xml:space="preserve">https://www.procede.api.br/publica/documentos/PRYXAMTCDSCNU-20260528-145706--!--CREDENCIAMENTO_MEDICOS_EDITAL_2026.pdf</t>
  </si>
  <si>
    <t xml:space="preserve">Consulta especializada na área de DERMATOLOGIA, em unidade móvel temporária</t>
  </si>
  <si>
    <t xml:space="preserve">Pref. Três Lagoas/MS – Edital de Credenciamento 002/2026 (valor único para todas as especialidades)</t>
  </si>
  <si>
    <t xml:space="preserve">https://www.treslagoas.ms.gov.br/prefeitura-de-tres-lagoas-amplia-acesso-a-consultas-especializadas-com-novo-credenciamento-na-saude/</t>
  </si>
  <si>
    <t xml:space="preserve">Consulta especializada na área de NEUROLOGIA, em unidade móvel temporária</t>
  </si>
  <si>
    <t xml:space="preserve">SESA/ES – Credenciamento SRSV/NRA 001/2026 (consulta neurologia)</t>
  </si>
  <si>
    <t xml:space="preserve">CISAMUSEP/PR – Tabela 2026 (12/06/2026)</t>
  </si>
  <si>
    <t xml:space="preserve">https://cisamusep.org.br/uploads/pagina/arquivos/Tabela-Cisamusep-1206.pdf</t>
  </si>
  <si>
    <t xml:space="preserve">Consulta especializada na área de ENDOCRINOLOGIA, em unidade móvel temporária</t>
  </si>
  <si>
    <t xml:space="preserve">Consulta especializada na área de GINECOLOGIA, em unidade móvel temporária</t>
  </si>
  <si>
    <t xml:space="preserve">Consulta especializada na área de UROLOGIA, em unidade móvel temporária</t>
  </si>
  <si>
    <t xml:space="preserve">Consulta especializada na área de REUMATOLOGIA, em unidade móvel temporária</t>
  </si>
  <si>
    <t xml:space="preserve">Consulta especializada na área de PNEUMOLOGIA, em unidade móvel temporária</t>
  </si>
  <si>
    <t xml:space="preserve">Consulta especializada na área de PROCTOLOGIA, em unidade móvel temporária</t>
  </si>
  <si>
    <t xml:space="preserve">CISAME/MG – Tabela de Preços e Serviços 2026 (Credenciamento 01/2025, Contrato 10/2026) (consulta médica especializada (valor geral da tabela))</t>
  </si>
  <si>
    <t xml:space="preserve">Consulta especializada na área de NEFROLOGIA, em unidade móvel temporária</t>
  </si>
  <si>
    <t xml:space="preserve">CISPARA/MG – Tabela Oficial de Consultas, Procedimentos e Serviços jan/2026</t>
  </si>
  <si>
    <t xml:space="preserve">https://www.cispara.mg.gov.br/transparencia/tabela-oficial-de-procedimentos/tabela-oficial-de-procedimentos-2026/543-01-tabela-oficial-de-consultas-procedimentos-e-servicos-janeiro-de-2026/file</t>
  </si>
  <si>
    <t xml:space="preserve">Consulta especializada na área de ANGIOLOGIA, em unidade móvel temporária</t>
  </si>
  <si>
    <t xml:space="preserve">Consulta especializada na área de GERIATRIA, em unidade móvel temporária</t>
  </si>
  <si>
    <t xml:space="preserve">Consulta especializada na área de MASTOLOGIA, em unidade móvel temporária</t>
  </si>
  <si>
    <t xml:space="preserve">Consulta especializada na área de OTORRINOLARINGOLOGIA, em unidade móvel temporária</t>
  </si>
  <si>
    <t xml:space="preserve">Consulta especializada na área de CARDIOLOGIA, em unidade móvel temporária</t>
  </si>
  <si>
    <t xml:space="preserve">LOTE 3 – EXAMES DIAGNÓSTICOS (unidade móvel)</t>
  </si>
  <si>
    <t xml:space="preserve">ULTRASSONOGRAFIA DE ABDOME TOTAL, em unidade móvel, com laudo</t>
  </si>
  <si>
    <t xml:space="preserve">Pref. Sarapuí/SP – Ata de Registro de Preços (RM e USG)</t>
  </si>
  <si>
    <t xml:space="preserve">https://www.sarapui.sp.gov.br/ata-registro-preco/page/1/download/839</t>
  </si>
  <si>
    <t xml:space="preserve">CIM Expandida Sul – Tabela de valores vigente a partir de 01/01/2026</t>
  </si>
  <si>
    <t xml:space="preserve">https://www.cimexpandidasul.com.br/institucional/tabela-de-servicos/562-tabela-atualizada-01-01-2026/file</t>
  </si>
  <si>
    <t xml:space="preserve">ULTRASSONOGRAFIA TRANSVAGINAL (ENDOVAGINAL), em unidade móvel, com laudo</t>
  </si>
  <si>
    <t xml:space="preserve">FMS Quilombo/SC – Credenciamento 05/2025</t>
  </si>
  <si>
    <t xml:space="preserve">https://quilombo.sc.gov.br/uploads/sites/96/2025/04/5-EDITAL-DE-CREDENCIAMENTO-05-2025-exames-imagem.pdf</t>
  </si>
  <si>
    <t xml:space="preserve">CISAMUSEP/PR – Tabela CISAMUSEP 2026</t>
  </si>
  <si>
    <t xml:space="preserve">https://www.cisamusep.org.br/uploads/arquivoChamamento/TABELA-CISAMUSEP-2026.pdf</t>
  </si>
  <si>
    <t xml:space="preserve">ULTRASSONOGRAFIA DE VIAS URINÁRIAS, em unidade móvel, com laudo</t>
  </si>
  <si>
    <t xml:space="preserve">CISPARA/MG – Tabela Oficial de Consultas, Procedimentos e Serviços jan/2026 (aparelho urinário)</t>
  </si>
  <si>
    <t xml:space="preserve">Pref. Lucas do Rio Verde/MT – Credenciamento 002/2026 (Inexig. 006/2026) (aparelho urinário)</t>
  </si>
  <si>
    <t xml:space="preserve">https://lucasdorioverde.mt.gov.br/arquivos//licitacoes/3709/edital.pdf</t>
  </si>
  <si>
    <t xml:space="preserve">ULTRASSONOGRAFIA DE PRÓSTATA (VIA ABDOMINAL), em unidade móvel, com laudo</t>
  </si>
  <si>
    <t xml:space="preserve">ECOCARDIOGRAMA TRANSTORÁCICO, em unidade móvel, com laudo</t>
  </si>
  <si>
    <t xml:space="preserve">Fundação iNOVA Capixaba/ES – Pregão Eletrônico 068/2025</t>
  </si>
  <si>
    <t xml:space="preserve">https://inovacapixaba.es.gov.br/media/Editais/Licita%C3%A7%C3%A3o/Preg%C3%A3o/Edital_n%C2%BA_068_2025_2024_T5Q1Z_Servi%C3%A7os_M%C3%A9dicos_de_Ecocardiograma_REPUBL..pdf</t>
  </si>
  <si>
    <t xml:space="preserve">Pref. Paragominas/PA – Pregão Eletrônico 9/2026-000027 (ecocardiograma transtorácico com doppler)</t>
  </si>
  <si>
    <t xml:space="preserve">https://pncp.gov.br/app/editais/05193057000178/2026/124</t>
  </si>
  <si>
    <t xml:space="preserve">Sem correspondente</t>
  </si>
  <si>
    <t xml:space="preserve">DENSITOMETRIA ÓSSEA, em unidade móvel, com laudo</t>
  </si>
  <si>
    <t xml:space="preserve">Pref. Foz do Jordão/PR – Credenciamento 008/2025 (corpo inteiro)</t>
  </si>
  <si>
    <t xml:space="preserve">https://pncp.gov.br/pncp-api/v1/orgaos/01603719000180/compras/2025/95/arquivos/1</t>
  </si>
  <si>
    <t xml:space="preserve">Pref. Praia Grande/SP – Tabela Oficial de Valores SESAP 2026 (coluna e/ou fêmur)</t>
  </si>
  <si>
    <t xml:space="preserve">https://www.praiagrande.sp.gov.br/arquivos/ChamadaPublica/46047.pdf</t>
  </si>
  <si>
    <t xml:space="preserve">ULTRASSONOGRAFIA DE MAMAS, em unidade móvel, com laudo</t>
  </si>
  <si>
    <t xml:space="preserve">COPIRN – Tabela de Serviços de Saúde (publ. 01/2025) (mamária bilateral)</t>
  </si>
  <si>
    <t xml:space="preserve">https://copirn.org.br/wp-content/uploads/2025/01/TABELA-DE-SERVICOS-DE-SAUDE-COPIRN-2.pdf</t>
  </si>
  <si>
    <t xml:space="preserve">CISAMUSEP/PR – Tabela CISAMUSEP 2026 (mamária bilateral)</t>
  </si>
  <si>
    <t xml:space="preserve">ULTRASSONOGRAFIA DE AXILAS, em unidade móvel, com laudo</t>
  </si>
  <si>
    <t xml:space="preserve">FMS Vargem/SC – Pregão Eletrônico 005/2025 (análogo: partes moles)</t>
  </si>
  <si>
    <t xml:space="preserve">https://www.vargem.sc.gov.br/uploads/sites/94/2025/03/Edital-FMS-VRG-2025_013_PE_005_90023-Ultrassom.pdf</t>
  </si>
  <si>
    <t xml:space="preserve">COPIRN – Tabela de Serviços de Saúde (publ. 01/2025) (análogo: mamária bilateral)</t>
  </si>
  <si>
    <t xml:space="preserve">CISAMUSEP/PR – Tabela CISAMUSEP 2026 (análogo: mamária bilateral)</t>
  </si>
  <si>
    <t xml:space="preserve">ULTRASSONOGRAFIA DE ARTICULAÇÕES/PARTES MOLES, em unidade móvel, com laudo</t>
  </si>
  <si>
    <t xml:space="preserve">CISUM/MG – Credenciamento 2026 (ultrassonografias, sob demanda) (musculoesquelética/articulação)</t>
  </si>
  <si>
    <t xml:space="preserve">https://ia.mabus.com.br/licitacao/6466406/credenciamento-consorcio-intermunicipal-de-saude-uniao-da-mata-leopoldina-mg</t>
  </si>
  <si>
    <t xml:space="preserve">LOTE 4 – RESSONÂNCIA MAGNÉTICA (unidade móvel)</t>
  </si>
  <si>
    <t xml:space="preserve">RESSONÂNCIA MAGNÉTICA, em unidade móvel, valor único por exame independentemente da região anatômica</t>
  </si>
  <si>
    <t xml:space="preserve">CIS Circuito das Águas/MG – Credenciamento 04/2025 (Proc. 054/2025), carreta itinerante (carreta itinerante)</t>
  </si>
  <si>
    <t xml:space="preserve">Pref. Livramento de Nossa Senhora/BA – Chamamento Público 008/2026 (sem contraste)</t>
  </si>
  <si>
    <t xml:space="preserve">https://pncp.gov.br/app/editais/13674817000197/2026/64</t>
  </si>
  <si>
    <t xml:space="preserve">Pref. Iuiú/BA – Edital de Credenciamento 022/2026 (sem contraste)</t>
  </si>
  <si>
    <t xml:space="preserve">CONTRASTE PARA RESSONÂNCIA MAGNÉTICA (meio de contraste, insumos e aplicação), vinculado ao item 1</t>
  </si>
  <si>
    <t xml:space="preserve">Aplicação</t>
  </si>
  <si>
    <t xml:space="preserve">Pref. Sarapuí/SP – Ata de Registro de Preços (RM e USG) (diferença entre exame com e sem contraste)</t>
  </si>
  <si>
    <t xml:space="preserve">Pref. Livramento de Nossa Senhora/BA – Chamamento Público 008/2026 (diferença: R$ 700,00 com contraste − R$ 400,00 sem)</t>
  </si>
  <si>
    <t xml:space="preserve">Pref. Iuiú/BA – Edital de Credenciamento 022/2026 (diferença: R$ 653,33 com contraste − R$ 543,33 sem)</t>
  </si>
  <si>
    <t xml:space="preserve">LOTE 5 – ATENDIMENTOS E PROCEDIMENTOS ODONTOLÓGICOS (unidade móvel)</t>
  </si>
  <si>
    <t xml:space="preserve">Consulta especializada em ODONTOLOGIA/SAÚDE BUCAL, em unidade móvel</t>
  </si>
  <si>
    <t xml:space="preserve">CIMINAS/MG – Termo de Contrato 741/2025 (Credenciamento 040/2025 – Sistema Carretas da Saúde), 30/09/2025</t>
  </si>
  <si>
    <t xml:space="preserve">Senado Federal/SIS – Tabela própria de credenciamento – Odontologia</t>
  </si>
  <si>
    <t xml:space="preserve">https://www12.senado.leg.br/institucional/sis/pdfs/tabela-odontologia-v2-nv.pdf</t>
  </si>
  <si>
    <t xml:space="preserve">MPU/Plan-Assiste – Anexo V da Norma Complementar 50 (2026)</t>
  </si>
  <si>
    <t xml:space="preserve">https://planassiste.mpu.mp.br/o-plan-assiste/normas/normas-cpmplementares/anexo_v_nc_50.pdf/@@download/file/Anexo_V_NC_50.pdf</t>
  </si>
  <si>
    <t xml:space="preserve">Atividade educativa em saúde bucal</t>
  </si>
  <si>
    <t xml:space="preserve">Procedimento</t>
  </si>
  <si>
    <t xml:space="preserve">NUCLEP/MME – Tabela de Procedimentos Odontológicos</t>
  </si>
  <si>
    <t xml:space="preserve">https://www.gov.br/mme/pt-br/assuntos/orgaos-vinculados/nuclep/plano-de-saude/orientacoes-ao-credenciado/TABELADEPROCEDIMENTOSODONTOLGICOS.pdf</t>
  </si>
  <si>
    <t xml:space="preserve">Atividade educativa para pais e cuidadores</t>
  </si>
  <si>
    <t xml:space="preserve">CIMINAS/MG – Termo de Contrato 741/2025 (Credenciamento 040/2025 – Sistema Carretas da Saúde), 30/09/2025 (orientação de higiene bucal para pais/cuidadores)</t>
  </si>
  <si>
    <t xml:space="preserve">NUCLEP/MME – Tabela de Procedimentos Odontológicos (análogo)</t>
  </si>
  <si>
    <t xml:space="preserve">Adequação do meio bucal (por arcada)</t>
  </si>
  <si>
    <t xml:space="preserve">BC Saúde – Tabela de Reembolso Odontológico 2026</t>
  </si>
  <si>
    <t xml:space="preserve">https://www.bcb.gov.br/content/acessoinformacao/bcsaude_docs/Tabela_de_Reembolsos_procedimentos_odontologicos_2026.pdf</t>
  </si>
  <si>
    <t xml:space="preserve">Ajuste oclusal por desgaste seletivo (por sessão)</t>
  </si>
  <si>
    <t xml:space="preserve">—</t>
  </si>
  <si>
    <t xml:space="preserve">Aplicação de selante - Técnica invasiva (por elemento)</t>
  </si>
  <si>
    <t xml:space="preserve">BC Saúde – Tabela de Procedimentos Odontológicos, Edital de Chamamento 2026 (selante por elemento)</t>
  </si>
  <si>
    <t xml:space="preserve">https://www.bcb.gov.br/content/acessoinformacao/bcsaude_docs/Tabela_Procedimentos_Odontologicos_Edital_Chamamento_26.pdf</t>
  </si>
  <si>
    <t xml:space="preserve">Aplicação tópica de flúor - por arcada</t>
  </si>
  <si>
    <t xml:space="preserve">BC Saúde – Tabela de Procedimentos Odontológicos, Edital de Chamamento 2026 (verniz fluoretado, 4 hemiarcadas)</t>
  </si>
  <si>
    <t xml:space="preserve">Capeamento pulpar direto (excluindo restauração final)</t>
  </si>
  <si>
    <t xml:space="preserve">FioSaúde – Tabela Odontológica, vigência 02/04/2025 a 31/03/2026</t>
  </si>
  <si>
    <t xml:space="preserve">https://fiosaude.org.br/wp-content/uploads/2025/04/tabela_Odontologica_Fiosaude_2025-2026.pdf</t>
  </si>
  <si>
    <t xml:space="preserve">Condicionamento em Odontologia</t>
  </si>
  <si>
    <t xml:space="preserve">Controle de biofilme (por sessão)</t>
  </si>
  <si>
    <t xml:space="preserve">STJ/Pró-Ser – Tabela Odontológica 2025 (vigência a partir de 01/03/2025)</t>
  </si>
  <si>
    <t xml:space="preserve">https://www.stj.jus.br/sites/portalp/SiteAssets/Paginas/Sob-medida/Publico-interno/Pro-Ser/Informacoes-aos-credenciados/Tabela_Odontologica_PRECOS_2025.pdf</t>
  </si>
  <si>
    <t xml:space="preserve">Coroa provisória (por elemento)</t>
  </si>
  <si>
    <t xml:space="preserve">STJ/Pró-Ser – Tabela Odontológica 2025 (vigência a partir de 01/03/2025) (sem pino)</t>
  </si>
  <si>
    <t xml:space="preserve">Curativo de demora</t>
  </si>
  <si>
    <t xml:space="preserve">Estabelecimento de vínculo com paciente idoso independente (por sessão)</t>
  </si>
  <si>
    <t xml:space="preserve">CIMINAS/MG – Termo de Contrato 741/2025 (Credenciamento 040/2025 – Sistema Carretas da Saúde), 30/09/2025 (análogo: vínculo com idoso/cuidador)</t>
  </si>
  <si>
    <t xml:space="preserve">Estabelecimento de vínculo com paciente idoso parcialmente dependente (por sessão)</t>
  </si>
  <si>
    <t xml:space="preserve">Estabelecimento de vínculo com paciente com necessidades especiais (por sessão)</t>
  </si>
  <si>
    <t xml:space="preserve">CIMINAS/MG – Termo de Contrato 741/2025 (Credenciamento 040/2025 – Sistema Carretas da Saúde), 30/09/2025 (análogo: idoso totalmente dependente)</t>
  </si>
  <si>
    <t xml:space="preserve">Estabelecimento de vínculo com paciente idoso totalmente dependente (por sessão)</t>
  </si>
  <si>
    <t xml:space="preserve">Estabelecimento de vínculo com paciente idoso, com cuidador de paciente idoso ou com cuidador de paciente com necessidades especiais</t>
  </si>
  <si>
    <t xml:space="preserve">Estabilização do paciente por meio de contenção física e/ou mecânica</t>
  </si>
  <si>
    <t xml:space="preserve">Exodontia a retalho</t>
  </si>
  <si>
    <t xml:space="preserve">Exodontia de dente decíduo</t>
  </si>
  <si>
    <t xml:space="preserve">BC Saúde – Tabela de Procedimentos Odontológicos, Edital de Chamamento 2026</t>
  </si>
  <si>
    <t xml:space="preserve">Exodontia de dente permanente</t>
  </si>
  <si>
    <t xml:space="preserve">Exodontia de permanente por indicação ortodôntica/protética</t>
  </si>
  <si>
    <t xml:space="preserve">FioSaúde – Tabela Odontológica, vigência 02/04/2025 a 31/03/2026 (análogo: exodontia simples de permanente)</t>
  </si>
  <si>
    <t xml:space="preserve">MPU/Plan-Assiste – Anexo V da Norma Complementar 50 (2026) (análogo: exodontia simples de permanente)</t>
  </si>
  <si>
    <t xml:space="preserve">Exodontia de raiz residual</t>
  </si>
  <si>
    <t xml:space="preserve">Frenulotomia labial</t>
  </si>
  <si>
    <t xml:space="preserve">FioSaúde – Tabela Odontológica, vigência 02/04/2025 a 31/03/2026 (frenulectomia labial)</t>
  </si>
  <si>
    <t xml:space="preserve">Frenulotomia lingual</t>
  </si>
  <si>
    <t xml:space="preserve">FioSaúde – Tabela Odontológica, vigência 02/04/2025 a 31/03/2026 (frenulectomia lingual)</t>
  </si>
  <si>
    <t xml:space="preserve">Gengivectomia (por sextante)</t>
  </si>
  <si>
    <t xml:space="preserve">Gengivoplastia (por sextante)</t>
  </si>
  <si>
    <t xml:space="preserve">Odontosecção / radilectomia / tunelização</t>
  </si>
  <si>
    <t xml:space="preserve">NUCLEP/MME – Tabela de Procedimentos Odontológicos (amputação radicular)</t>
  </si>
  <si>
    <t xml:space="preserve">Orientação de higiene bucal para pais e/ou cuidadores</t>
  </si>
  <si>
    <t xml:space="preserve">NUCLEP/MME – Tabela de Procedimentos Odontológicos (atividade educativa)</t>
  </si>
  <si>
    <t xml:space="preserve">Aplicação de cariostático - 1 sessão - duas arcadas</t>
  </si>
  <si>
    <t xml:space="preserve">NUCLEP/MME – Tabela de Procedimentos Odontológicos (por dente)</t>
  </si>
  <si>
    <t xml:space="preserve">Aplicação de selante de fóssulas e fissuras - por elemento</t>
  </si>
  <si>
    <t xml:space="preserve">Profilaxia e polimento coronário</t>
  </si>
  <si>
    <t xml:space="preserve">Prótese parcial fixa provisória (por elemento)</t>
  </si>
  <si>
    <t xml:space="preserve">Prótese parcial removível com grampos bilateral</t>
  </si>
  <si>
    <t xml:space="preserve">CONSUD – Resolução 034/2025 (17/04/2025) – Tabela de Prótese Odontológica (prótese parcial removível)</t>
  </si>
  <si>
    <t xml:space="preserve">https://www.consud.org/uploads/pagina/arquivos/RESOLUCAO-034-2025-TABELA-DE-PROTESE-ODONTOLOGICA-docx-2.pdf</t>
  </si>
  <si>
    <t xml:space="preserve">Prótese parcial removível provisória em acrílico com ou sem grampos</t>
  </si>
  <si>
    <t xml:space="preserve">Prótese total (por arcada)</t>
  </si>
  <si>
    <t xml:space="preserve">CONSUD – Resolução 034/2025 (17/04/2025) – Tabela de Prótese Odontológica</t>
  </si>
  <si>
    <t xml:space="preserve">Radiografia periapical</t>
  </si>
  <si>
    <t xml:space="preserve">TJDFT/Pró-Saúde – Tabela Odontológica Própria</t>
  </si>
  <si>
    <t xml:space="preserve">https://www.tjdft.jus.br/pro-saude/tabelas-proprias-do-pro-saude/tabela-propria-odontologica-ajuste-cynthia.pdf</t>
  </si>
  <si>
    <t xml:space="preserve">Remoção de dente retido (incluso/impactado)</t>
  </si>
  <si>
    <t xml:space="preserve">BC Saúde – Tabela de Procedimentos Odontológicos, Edital de Chamamento 2026 (semi-incluso/impactado)</t>
  </si>
  <si>
    <t xml:space="preserve">Remoção de material obturador intracanal para retratamento endodôntico</t>
  </si>
  <si>
    <t xml:space="preserve">NUCLEP/MME – Tabela de Procedimentos Odontológicos (análogo: retratamento unirradicular)</t>
  </si>
  <si>
    <t xml:space="preserve">Remoção de trabalhos protéticos - por elementos suportes</t>
  </si>
  <si>
    <t xml:space="preserve">Restauração atraumática - por elemento</t>
  </si>
  <si>
    <t xml:space="preserve">FioSaúde – Tabela Odontológica, vigência 02/04/2025 a 31/03/2026 (análogo: ionômero 1 face)</t>
  </si>
  <si>
    <t xml:space="preserve">NUCLEP/MME – Tabela de Procedimentos Odontológicos (análogo: ionômero)</t>
  </si>
  <si>
    <t xml:space="preserve">Restauração em ionômero de vidro – Classe I - 1 face</t>
  </si>
  <si>
    <t xml:space="preserve">Restauração em ionômero de vidro – Classe II - 2 faces</t>
  </si>
  <si>
    <t xml:space="preserve">Restauração em ionômero de vidro – Classe II - 3 faces</t>
  </si>
  <si>
    <t xml:space="preserve">Restauração resina fotopolimerizável - Classe I - 1 face</t>
  </si>
  <si>
    <t xml:space="preserve">Restauração resina fotopolimerizável Classe II - 2 faces</t>
  </si>
  <si>
    <t xml:space="preserve">Restauração resina fotopolimerizável Classe II - 3 faces</t>
  </si>
  <si>
    <t xml:space="preserve">Restauração resina fotopolimerizável Classe II - 4 faces</t>
  </si>
  <si>
    <t xml:space="preserve">Restauração resina fotopolimerizável Classe III</t>
  </si>
  <si>
    <t xml:space="preserve">Restauração resina fotopolimerizável Classe IV</t>
  </si>
  <si>
    <t xml:space="preserve">Restauração resina fotopolimerizável Classe V</t>
  </si>
  <si>
    <t xml:space="preserve">MPU/Plan-Assiste – Anexo V da Norma Complementar 50 (2026) (1 face)</t>
  </si>
  <si>
    <t xml:space="preserve">Restauração temporária/tratamento expectante</t>
  </si>
  <si>
    <t xml:space="preserve">Retratamento endodôntico de canino e pré-molar birradiculares</t>
  </si>
  <si>
    <t xml:space="preserve">Retratamento endodôntico de incisivo/canino/pré-molar unirradiculares</t>
  </si>
  <si>
    <t xml:space="preserve">Sutura de ferida na região BMF</t>
  </si>
  <si>
    <t xml:space="preserve">CIMINAS/MG – Termo de Contrato 741/2025 (Credenciamento 040/2025 – Sistema Carretas da Saúde), 30/09/2025 (análogo: excisão e sutura de lesão na boca)</t>
  </si>
  <si>
    <t xml:space="preserve">Sedação medicamentosa ambulatorial</t>
  </si>
  <si>
    <t xml:space="preserve">Retratamento endodôntico de molar</t>
  </si>
  <si>
    <t xml:space="preserve">FioSaúde – Tabela Odontológica, vigência 02/04/2025 a 31/03/2026 (multirradicular)</t>
  </si>
  <si>
    <t xml:space="preserve">Tratamento de alveolite</t>
  </si>
  <si>
    <t xml:space="preserve">TRF3 – Tabela Odontológica Credenciados</t>
  </si>
  <si>
    <t xml:space="preserve">https://www.trf3.jus.br/documentos/ubas/Odontologia/Credenc_pac_espec_vigencia_1_08_07.pdf</t>
  </si>
  <si>
    <t xml:space="preserve">Tratamento de fluorose</t>
  </si>
  <si>
    <t xml:space="preserve">Tratamento endodôntico de canino/pré-molar - birradiculares</t>
  </si>
  <si>
    <t xml:space="preserve">TJDFT/Pró-Saúde – Tabela Odontológica Própria (pré-molar)</t>
  </si>
  <si>
    <t xml:space="preserve">Tratamento endodôntico de dentes com rizogênese incompleta (por sessão)</t>
  </si>
  <si>
    <t xml:space="preserve">Tratamento endodôntico de incisivo/canino/pré-molar - unirradicular</t>
  </si>
  <si>
    <t xml:space="preserve">TJDFT/Pró-Saúde – Tabela Odontológica Própria (incisivo ou canino)</t>
  </si>
  <si>
    <t xml:space="preserve">Tratamento endodôntico de molar</t>
  </si>
  <si>
    <t xml:space="preserve">Ulectomia</t>
  </si>
  <si>
    <t xml:space="preserve">CONTRATAÇÕES E TABELAS PÚBLICAS DE REFERÊNCIA (links)</t>
  </si>
  <si>
    <t xml:space="preserve">Nº</t>
  </si>
  <si>
    <t xml:space="preserve">Contratação / Documento</t>
  </si>
  <si>
    <t xml:space="preserve">Link</t>
  </si>
  <si>
    <t xml:space="preserve">ICISMEP/MG – TSPS jan/2026, atualização II (Unidade Móvel Saúde da Mulher)</t>
  </si>
  <si>
    <t xml:space="preserve">SESA/ES – Credenciamento SRSV/NRA 001/2026</t>
  </si>
  <si>
    <t xml:space="preserve">Pref. Três Lagoas/MS – Edital de Credenciamento 002/2026</t>
  </si>
  <si>
    <t xml:space="preserve">Pref. Lucas do Rio Verde/MT – Credenciamento 002/2026 (Inexig. 006/2026)</t>
  </si>
  <si>
    <t xml:space="preserve">Pref. Paragominas/PA – Pregão Eletrônico 9/2026-000027</t>
  </si>
  <si>
    <t xml:space="preserve">Pref. Foz do Jordão/PR – Credenciamento 008/2025</t>
  </si>
  <si>
    <t xml:space="preserve">Pref. Praia Grande/SP – Tabela Oficial de Valores SESAP 2026</t>
  </si>
  <si>
    <t xml:space="preserve">COPIRN – Tabela de Serviços de Saúde (publ. 01/2025)</t>
  </si>
  <si>
    <t xml:space="preserve">FMS Vargem/SC – Pregão Eletrônico 005/2025</t>
  </si>
  <si>
    <t xml:space="preserve">CISUM/MG – Credenciamento 2026 (ultrassonografias, sob demanda)</t>
  </si>
  <si>
    <t xml:space="preserve">Pref. Livramento de Nossa Senhora/BA – Chamamento Público 008/2026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</si>
</sst>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8B5F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u val="single"/>
      <sz val="9"/>
      <color rgb="FF0563C1"/>
      <name val="Cambria"/>
      <family val="0"/>
      <charset val="1"/>
    </font>
    <font>
      <b val="true"/>
      <sz val="1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8B5F"/>
        <bgColor rgb="FF008080"/>
      </patternFill>
    </fill>
    <fill>
      <patternFill patternType="solid">
        <fgColor rgb="FFDCEBE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B8B5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ncp.gov.br/pncp-api/v1/orgaos/71203715000190/compras/2026/1/arquivos/1" TargetMode="External"/><Relationship Id="rId2" Type="http://schemas.openxmlformats.org/officeDocument/2006/relationships/hyperlink" Target="https://ciminas.mg.gov.br/" TargetMode="External"/><Relationship Id="rId3" Type="http://schemas.openxmlformats.org/officeDocument/2006/relationships/hyperlink" Target="https://icismep.mg.gov.br/wp-content/uploads/2026/02/03.-TSPS-JANEIRO-DE-2026-ATUALIZACAO-II-1.pdf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aude.es.gov.br/Media/sesa/Credenciamento/EDITAL%20SESA-SRSV-NRA%20001-26.pdf" TargetMode="External"/><Relationship Id="rId2" Type="http://schemas.openxmlformats.org/officeDocument/2006/relationships/hyperlink" Target="https://www.cisame.mg.gov.br/compliance/tabela-de-precos-e-servicos/" TargetMode="External"/><Relationship Id="rId3" Type="http://schemas.openxmlformats.org/officeDocument/2006/relationships/hyperlink" Target="https://www.procede.api.br/publica/documentos/PRYXAMTCDSCNU-20260528-145706--!--CREDENCIAMENTO_MEDICOS_EDITAL_2026.pdf" TargetMode="External"/><Relationship Id="rId4" Type="http://schemas.openxmlformats.org/officeDocument/2006/relationships/hyperlink" Target="https://saude.es.gov.br/Media/sesa/Credenciamento/EDITAL%20SESA-SRSV-NRA%20001-26.pdf" TargetMode="External"/><Relationship Id="rId5" Type="http://schemas.openxmlformats.org/officeDocument/2006/relationships/hyperlink" Target="https://www.cisame.mg.gov.br/compliance/tabela-de-precos-e-servicos/" TargetMode="External"/><Relationship Id="rId6" Type="http://schemas.openxmlformats.org/officeDocument/2006/relationships/hyperlink" Target="https://www.treslagoas.ms.gov.br/prefeitura-de-tres-lagoas-amplia-acesso-a-consultas-especializadas-com-novo-credenciamento-na-saude/" TargetMode="External"/><Relationship Id="rId7" Type="http://schemas.openxmlformats.org/officeDocument/2006/relationships/hyperlink" Target="https://saude.es.gov.br/Media/sesa/Credenciamento/EDITAL%20SESA-SRSV-NRA%20001-26.pdf" TargetMode="External"/><Relationship Id="rId8" Type="http://schemas.openxmlformats.org/officeDocument/2006/relationships/hyperlink" Target="https://cisamusep.org.br/uploads/pagina/arquivos/Tabela-Cisamusep-1206.pdf" TargetMode="External"/><Relationship Id="rId9" Type="http://schemas.openxmlformats.org/officeDocument/2006/relationships/hyperlink" Target="https://www.cisame.mg.gov.br/compliance/tabela-de-precos-e-servicos/" TargetMode="External"/><Relationship Id="rId10" Type="http://schemas.openxmlformats.org/officeDocument/2006/relationships/hyperlink" Target="https://saude.es.gov.br/Media/sesa/Credenciamento/EDITAL%20SESA-SRSV-NRA%20001-26.pdf" TargetMode="External"/><Relationship Id="rId11" Type="http://schemas.openxmlformats.org/officeDocument/2006/relationships/hyperlink" Target="https://www.cisame.mg.gov.br/compliance/tabela-de-precos-e-servicos/" TargetMode="External"/><Relationship Id="rId12" Type="http://schemas.openxmlformats.org/officeDocument/2006/relationships/hyperlink" Target="https://www.treslagoas.ms.gov.br/prefeitura-de-tres-lagoas-amplia-acesso-a-consultas-especializadas-com-novo-credenciamento-na-saude/" TargetMode="External"/><Relationship Id="rId13" Type="http://schemas.openxmlformats.org/officeDocument/2006/relationships/hyperlink" Target="https://saude.es.gov.br/Media/sesa/Credenciamento/EDITAL%20SESA-SRSV-NRA%20001-26.pdf" TargetMode="External"/><Relationship Id="rId14" Type="http://schemas.openxmlformats.org/officeDocument/2006/relationships/hyperlink" Target="https://www.cisame.mg.gov.br/compliance/tabela-de-precos-e-servicos/" TargetMode="External"/><Relationship Id="rId15" Type="http://schemas.openxmlformats.org/officeDocument/2006/relationships/hyperlink" Target="https://www.procede.api.br/publica/documentos/PRYXAMTCDSCNU-20260528-145706--!--CREDENCIAMENTO_MEDICOS_EDITAL_2026.pdf" TargetMode="External"/><Relationship Id="rId16" Type="http://schemas.openxmlformats.org/officeDocument/2006/relationships/hyperlink" Target="https://saude.es.gov.br/Media/sesa/Credenciamento/EDITAL%20SESA-SRSV-NRA%20001-26.pdf" TargetMode="External"/><Relationship Id="rId17" Type="http://schemas.openxmlformats.org/officeDocument/2006/relationships/hyperlink" Target="https://www.cisame.mg.gov.br/compliance/tabela-de-precos-e-servicos/" TargetMode="External"/><Relationship Id="rId18" Type="http://schemas.openxmlformats.org/officeDocument/2006/relationships/hyperlink" Target="https://www.treslagoas.ms.gov.br/prefeitura-de-tres-lagoas-amplia-acesso-a-consultas-especializadas-com-novo-credenciamento-na-saude/" TargetMode="External"/><Relationship Id="rId19" Type="http://schemas.openxmlformats.org/officeDocument/2006/relationships/hyperlink" Target="https://saude.es.gov.br/Media/sesa/Credenciamento/EDITAL%20SESA-SRSV-NRA%20001-26.pdf" TargetMode="External"/><Relationship Id="rId20" Type="http://schemas.openxmlformats.org/officeDocument/2006/relationships/hyperlink" Target="https://www.cisame.mg.gov.br/compliance/tabela-de-precos-e-servicos/" TargetMode="External"/><Relationship Id="rId21" Type="http://schemas.openxmlformats.org/officeDocument/2006/relationships/hyperlink" Target="https://www.treslagoas.ms.gov.br/prefeitura-de-tres-lagoas-amplia-acesso-a-consultas-especializadas-com-novo-credenciamento-na-saude/" TargetMode="External"/><Relationship Id="rId22" Type="http://schemas.openxmlformats.org/officeDocument/2006/relationships/hyperlink" Target="https://saude.es.gov.br/Media/sesa/Credenciamento/EDITAL%20SESA-SRSV-NRA%20001-26.pdf" TargetMode="External"/><Relationship Id="rId23" Type="http://schemas.openxmlformats.org/officeDocument/2006/relationships/hyperlink" Target="https://www.cisame.mg.gov.br/compliance/tabela-de-precos-e-servicos/" TargetMode="External"/><Relationship Id="rId24" Type="http://schemas.openxmlformats.org/officeDocument/2006/relationships/hyperlink" Target="https://www.treslagoas.ms.gov.br/prefeitura-de-tres-lagoas-amplia-acesso-a-consultas-especializadas-com-novo-credenciamento-na-saude/" TargetMode="External"/><Relationship Id="rId25" Type="http://schemas.openxmlformats.org/officeDocument/2006/relationships/hyperlink" Target="https://saude.es.gov.br/Media/sesa/Credenciamento/EDITAL%20SESA-SRSV-NRA%20001-26.pdf" TargetMode="External"/><Relationship Id="rId26" Type="http://schemas.openxmlformats.org/officeDocument/2006/relationships/hyperlink" Target="https://www.cisame.mg.gov.br/compliance/tabela-de-precos-e-servicos/" TargetMode="External"/><Relationship Id="rId27" Type="http://schemas.openxmlformats.org/officeDocument/2006/relationships/hyperlink" Target="https://www.treslagoas.ms.gov.br/prefeitura-de-tres-lagoas-amplia-acesso-a-consultas-especializadas-com-novo-credenciamento-na-saude/" TargetMode="External"/><Relationship Id="rId28" Type="http://schemas.openxmlformats.org/officeDocument/2006/relationships/hyperlink" Target="https://saude.es.gov.br/Media/sesa/Credenciamento/EDITAL%20SESA-SRSV-NRA%20001-26.pdf" TargetMode="External"/><Relationship Id="rId29" Type="http://schemas.openxmlformats.org/officeDocument/2006/relationships/hyperlink" Target="https://www.cispara.mg.gov.br/transparencia/tabela-oficial-de-procedimentos/tabela-oficial-de-procedimentos-2026/543-01-tabela-oficial-de-consultas-procedimentos-e-servicos-janeiro-de-2026/file" TargetMode="External"/><Relationship Id="rId30" Type="http://schemas.openxmlformats.org/officeDocument/2006/relationships/hyperlink" Target="https://www.treslagoas.ms.gov.br/prefeitura-de-tres-lagoas-amplia-acesso-a-consultas-especializadas-com-novo-credenciamento-na-saude/" TargetMode="External"/><Relationship Id="rId31" Type="http://schemas.openxmlformats.org/officeDocument/2006/relationships/hyperlink" Target="https://saude.es.gov.br/Media/sesa/Credenciamento/EDITAL%20SESA-SRSV-NRA%20001-26.pdf" TargetMode="External"/><Relationship Id="rId32" Type="http://schemas.openxmlformats.org/officeDocument/2006/relationships/hyperlink" Target="https://www.cisame.mg.gov.br/compliance/tabela-de-precos-e-servicos/" TargetMode="External"/><Relationship Id="rId33" Type="http://schemas.openxmlformats.org/officeDocument/2006/relationships/hyperlink" Target="https://www.treslagoas.ms.gov.br/prefeitura-de-tres-lagoas-amplia-acesso-a-consultas-especializadas-com-novo-credenciamento-na-saude/" TargetMode="External"/><Relationship Id="rId34" Type="http://schemas.openxmlformats.org/officeDocument/2006/relationships/hyperlink" Target="https://saude.es.gov.br/Media/sesa/Credenciamento/EDITAL%20SESA-SRSV-NRA%20001-26.pdf" TargetMode="External"/><Relationship Id="rId35" Type="http://schemas.openxmlformats.org/officeDocument/2006/relationships/hyperlink" Target="https://www.cisame.mg.gov.br/compliance/tabela-de-precos-e-servicos/" TargetMode="External"/><Relationship Id="rId36" Type="http://schemas.openxmlformats.org/officeDocument/2006/relationships/hyperlink" Target="https://www.treslagoas.ms.gov.br/prefeitura-de-tres-lagoas-amplia-acesso-a-consultas-especializadas-com-novo-credenciamento-na-saude/" TargetMode="External"/><Relationship Id="rId37" Type="http://schemas.openxmlformats.org/officeDocument/2006/relationships/hyperlink" Target="https://saude.es.gov.br/Media/sesa/Credenciamento/EDITAL%20SESA-SRSV-NRA%20001-26.pdf" TargetMode="External"/><Relationship Id="rId38" Type="http://schemas.openxmlformats.org/officeDocument/2006/relationships/hyperlink" Target="https://www.cisame.mg.gov.br/compliance/tabela-de-precos-e-servicos/" TargetMode="External"/><Relationship Id="rId39" Type="http://schemas.openxmlformats.org/officeDocument/2006/relationships/hyperlink" Target="https://www.treslagoas.ms.gov.br/prefeitura-de-tres-lagoas-amplia-acesso-a-consultas-especializadas-com-novo-credenciamento-na-saude/" TargetMode="External"/><Relationship Id="rId40" Type="http://schemas.openxmlformats.org/officeDocument/2006/relationships/hyperlink" Target="https://saude.es.gov.br/Media/sesa/Credenciamento/EDITAL%20SESA-SRSV-NRA%20001-26.pdf" TargetMode="External"/><Relationship Id="rId41" Type="http://schemas.openxmlformats.org/officeDocument/2006/relationships/hyperlink" Target="https://www.cisame.mg.gov.br/compliance/tabela-de-precos-e-servicos/" TargetMode="External"/><Relationship Id="rId42" Type="http://schemas.openxmlformats.org/officeDocument/2006/relationships/hyperlink" Target="https://www.treslagoas.ms.gov.br/prefeitura-de-tres-lagoas-amplia-acesso-a-consultas-especializadas-com-novo-credenciamento-na-saude/" TargetMode="External"/><Relationship Id="rId43" Type="http://schemas.openxmlformats.org/officeDocument/2006/relationships/hyperlink" Target="https://saude.es.gov.br/Media/sesa/Credenciamento/EDITAL%20SESA-SRSV-NRA%20001-26.pdf" TargetMode="External"/><Relationship Id="rId44" Type="http://schemas.openxmlformats.org/officeDocument/2006/relationships/hyperlink" Target="https://www.cisame.mg.gov.br/compliance/tabela-de-precos-e-servicos/" TargetMode="External"/><Relationship Id="rId45" Type="http://schemas.openxmlformats.org/officeDocument/2006/relationships/hyperlink" Target="https://www.procede.api.br/publica/documentos/PRYXAMTCDSCNU-20260528-145706--!--CREDENCIAMENTO_MEDICOS_EDITAL_2026.pdf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arapui.sp.gov.br/ata-registro-preco/page/1/download/839" TargetMode="External"/><Relationship Id="rId2" Type="http://schemas.openxmlformats.org/officeDocument/2006/relationships/hyperlink" Target="https://www.cispara.mg.gov.br/transparencia/tabela-oficial-de-procedimentos/tabela-oficial-de-procedimentos-2026/543-01-tabela-oficial-de-consultas-procedimentos-e-servicos-janeiro-de-2026/file" TargetMode="External"/><Relationship Id="rId3" Type="http://schemas.openxmlformats.org/officeDocument/2006/relationships/hyperlink" Target="https://www.cimexpandidasul.com.br/institucional/tabela-de-servicos/562-tabela-atualizada-01-01-2026/file" TargetMode="External"/><Relationship Id="rId4" Type="http://schemas.openxmlformats.org/officeDocument/2006/relationships/hyperlink" Target="https://quilombo.sc.gov.br/uploads/sites/96/2025/04/5-EDITAL-DE-CREDENCIAMENTO-05-2025-exames-imagem.pdf" TargetMode="External"/><Relationship Id="rId5" Type="http://schemas.openxmlformats.org/officeDocument/2006/relationships/hyperlink" Target="https://www.cispara.mg.gov.br/transparencia/tabela-oficial-de-procedimentos/tabela-oficial-de-procedimentos-2026/543-01-tabela-oficial-de-consultas-procedimentos-e-servicos-janeiro-de-2026/file" TargetMode="External"/><Relationship Id="rId6" Type="http://schemas.openxmlformats.org/officeDocument/2006/relationships/hyperlink" Target="https://www.cisamusep.org.br/uploads/arquivoChamamento/TABELA-CISAMUSEP-2026.pdf" TargetMode="External"/><Relationship Id="rId7" Type="http://schemas.openxmlformats.org/officeDocument/2006/relationships/hyperlink" Target="https://www.sarapui.sp.gov.br/ata-registro-preco/page/1/download/839" TargetMode="External"/><Relationship Id="rId8" Type="http://schemas.openxmlformats.org/officeDocument/2006/relationships/hyperlink" Target="https://www.cispara.mg.gov.br/transparencia/tabela-oficial-de-procedimentos/tabela-oficial-de-procedimentos-2026/543-01-tabela-oficial-de-consultas-procedimentos-e-servicos-janeiro-de-2026/file" TargetMode="External"/><Relationship Id="rId9" Type="http://schemas.openxmlformats.org/officeDocument/2006/relationships/hyperlink" Target="https://lucasdorioverde.mt.gov.br/arquivos//licitacoes/3709/edital.pdf" TargetMode="External"/><Relationship Id="rId10" Type="http://schemas.openxmlformats.org/officeDocument/2006/relationships/hyperlink" Target="https://quilombo.sc.gov.br/uploads/sites/96/2025/04/5-EDITAL-DE-CREDENCIAMENTO-05-2025-exames-imagem.pdf" TargetMode="External"/><Relationship Id="rId11" Type="http://schemas.openxmlformats.org/officeDocument/2006/relationships/hyperlink" Target="https://www.cispara.mg.gov.br/transparencia/tabela-oficial-de-procedimentos/tabela-oficial-de-procedimentos-2026/543-01-tabela-oficial-de-consultas-procedimentos-e-servicos-janeiro-de-2026/file" TargetMode="External"/><Relationship Id="rId12" Type="http://schemas.openxmlformats.org/officeDocument/2006/relationships/hyperlink" Target="https://www.cimexpandidasul.com.br/institucional/tabela-de-servicos/562-tabela-atualizada-01-01-2026/file" TargetMode="External"/><Relationship Id="rId13" Type="http://schemas.openxmlformats.org/officeDocument/2006/relationships/hyperlink" Target="https://inovacapixaba.es.gov.br/media/Editais/Licita&#231;&#227;o/Preg&#227;o/Edital_n&#186;_068_2025_2024_T5Q1Z_Servi&#231;os_M&#233;dicos_de_Ecocardiograma_REPUBL..pdf" TargetMode="External"/><Relationship Id="rId14" Type="http://schemas.openxmlformats.org/officeDocument/2006/relationships/hyperlink" Target="https://pncp.gov.br/app/editais/05193057000178/2026/124" TargetMode="External"/><Relationship Id="rId15" Type="http://schemas.openxmlformats.org/officeDocument/2006/relationships/hyperlink" Target="https://www.cisame.mg.gov.br/compliance/tabela-de-precos-e-servicos/" TargetMode="External"/><Relationship Id="rId16" Type="http://schemas.openxmlformats.org/officeDocument/2006/relationships/hyperlink" Target="https://pncp.gov.br/pncp-api/v1/orgaos/01603719000180/compras/2025/95/arquivos/1" TargetMode="External"/><Relationship Id="rId17" Type="http://schemas.openxmlformats.org/officeDocument/2006/relationships/hyperlink" Target="https://www.cimexpandidasul.com.br/institucional/tabela-de-servicos/562-tabela-atualizada-01-01-2026/file" TargetMode="External"/><Relationship Id="rId18" Type="http://schemas.openxmlformats.org/officeDocument/2006/relationships/hyperlink" Target="https://www.praiagrande.sp.gov.br/arquivos/ChamadaPublica/46047.pdf" TargetMode="External"/><Relationship Id="rId19" Type="http://schemas.openxmlformats.org/officeDocument/2006/relationships/hyperlink" Target="https://quilombo.sc.gov.br/uploads/sites/96/2025/04/5-EDITAL-DE-CREDENCIAMENTO-05-2025-exames-imagem.pdf" TargetMode="External"/><Relationship Id="rId20" Type="http://schemas.openxmlformats.org/officeDocument/2006/relationships/hyperlink" Target="https://copirn.org.br/wp-content/uploads/2025/01/TABELA-DE-SERVICOS-DE-SAUDE-COPIRN-2.pdf" TargetMode="External"/><Relationship Id="rId21" Type="http://schemas.openxmlformats.org/officeDocument/2006/relationships/hyperlink" Target="https://www.cisamusep.org.br/uploads/arquivoChamamento/TABELA-CISAMUSEP-2026.pdf" TargetMode="External"/><Relationship Id="rId22" Type="http://schemas.openxmlformats.org/officeDocument/2006/relationships/hyperlink" Target="https://www.vargem.sc.gov.br/uploads/sites/94/2025/03/Edital-FMS-VRG-2025_013_PE_005_90023-Ultrassom.pdf" TargetMode="External"/><Relationship Id="rId23" Type="http://schemas.openxmlformats.org/officeDocument/2006/relationships/hyperlink" Target="https://copirn.org.br/wp-content/uploads/2025/01/TABELA-DE-SERVICOS-DE-SAUDE-COPIRN-2.pdf" TargetMode="External"/><Relationship Id="rId24" Type="http://schemas.openxmlformats.org/officeDocument/2006/relationships/hyperlink" Target="https://www.cisamusep.org.br/uploads/arquivoChamamento/TABELA-CISAMUSEP-2026.pdf" TargetMode="External"/><Relationship Id="rId25" Type="http://schemas.openxmlformats.org/officeDocument/2006/relationships/hyperlink" Target="https://quilombo.sc.gov.br/uploads/sites/96/2025/04/5-EDITAL-DE-CREDENCIAMENTO-05-2025-exames-imagem.pdf" TargetMode="External"/><Relationship Id="rId26" Type="http://schemas.openxmlformats.org/officeDocument/2006/relationships/hyperlink" Target="https://ia.mabus.com.br/licitacao/6466406/credenciamento-consorcio-intermunicipal-de-saude-uniao-da-mata-leopoldina-mg" TargetMode="External"/><Relationship Id="rId27" Type="http://schemas.openxmlformats.org/officeDocument/2006/relationships/hyperlink" Target="https://www.cimexpandidasul.com.br/institucional/tabela-de-servicos/562-tabela-atualizada-01-01-2026/file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pncp.gov.br/pncp-api/v1/orgaos/71203715000190/compras/2026/1/arquivos/1" TargetMode="External"/><Relationship Id="rId2" Type="http://schemas.openxmlformats.org/officeDocument/2006/relationships/hyperlink" Target="https://pncp.gov.br/app/editais/13674817000197/2026/64" TargetMode="External"/><Relationship Id="rId3" Type="http://schemas.openxmlformats.org/officeDocument/2006/relationships/hyperlink" Target="https://www.procede.api.br/publica/documentos/PRYXAMTCDSCNU-20260528-145706--!--CREDENCIAMENTO_MEDICOS_EDITAL_2026.pdf" TargetMode="External"/><Relationship Id="rId4" Type="http://schemas.openxmlformats.org/officeDocument/2006/relationships/hyperlink" Target="https://www.sarapui.sp.gov.br/ata-registro-preco/page/1/download/839" TargetMode="External"/><Relationship Id="rId5" Type="http://schemas.openxmlformats.org/officeDocument/2006/relationships/hyperlink" Target="https://pncp.gov.br/app/editais/13674817000197/2026/64" TargetMode="External"/><Relationship Id="rId6" Type="http://schemas.openxmlformats.org/officeDocument/2006/relationships/hyperlink" Target="https://www.procede.api.br/publica/documentos/PRYXAMTCDSCNU-20260528-145706--!--CREDENCIAMENTO_MEDICOS_EDITAL_2026.pdf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ciminas.mg.gov.br/" TargetMode="External"/><Relationship Id="rId2" Type="http://schemas.openxmlformats.org/officeDocument/2006/relationships/hyperlink" Target="https://www12.senado.leg.br/institucional/sis/pdfs/tabela-odontologia-v2-nv.pdf" TargetMode="External"/><Relationship Id="rId3" Type="http://schemas.openxmlformats.org/officeDocument/2006/relationships/hyperlink" Target="https://planassiste.mpu.mp.br/o-plan-assiste/normas/normas-cpmplementares/anexo_v_nc_50.pdf/@@download/file/Anexo_V_NC_50.pdf" TargetMode="External"/><Relationship Id="rId4" Type="http://schemas.openxmlformats.org/officeDocument/2006/relationships/hyperlink" Target="https://ciminas.mg.gov.br/" TargetMode="External"/><Relationship Id="rId5" Type="http://schemas.openxmlformats.org/officeDocument/2006/relationships/hyperlink" Target="https://www12.senado.leg.br/institucional/sis/pdfs/tabela-odontologia-v2-nv.pdf" TargetMode="External"/><Relationship Id="rId6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7" Type="http://schemas.openxmlformats.org/officeDocument/2006/relationships/hyperlink" Target="https://ciminas.mg.gov.br/" TargetMode="External"/><Relationship Id="rId8" Type="http://schemas.openxmlformats.org/officeDocument/2006/relationships/hyperlink" Target="https://www12.senado.leg.br/institucional/sis/pdfs/tabela-odontologia-v2-nv.pdf" TargetMode="External"/><Relationship Id="rId9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10" Type="http://schemas.openxmlformats.org/officeDocument/2006/relationships/hyperlink" Target="https://ciminas.mg.gov.br/" TargetMode="External"/><Relationship Id="rId11" Type="http://schemas.openxmlformats.org/officeDocument/2006/relationships/hyperlink" Target="https://www12.senado.leg.br/institucional/sis/pdfs/tabela-odontologia-v2-nv.pdf" TargetMode="External"/><Relationship Id="rId12" Type="http://schemas.openxmlformats.org/officeDocument/2006/relationships/hyperlink" Target="https://www.bcb.gov.br/content/acessoinformacao/bcsaude_docs/Tabela_de_Reembolsos_procedimentos_odontologicos_2026.pdf" TargetMode="External"/><Relationship Id="rId13" Type="http://schemas.openxmlformats.org/officeDocument/2006/relationships/hyperlink" Target="https://ciminas.mg.gov.br/" TargetMode="External"/><Relationship Id="rId14" Type="http://schemas.openxmlformats.org/officeDocument/2006/relationships/hyperlink" Target="https://www12.senado.leg.br/institucional/sis/pdfs/tabela-odontologia-v2-nv.pdf" TargetMode="External"/><Relationship Id="rId15" Type="http://schemas.openxmlformats.org/officeDocument/2006/relationships/hyperlink" Target="https://ciminas.mg.gov.br/" TargetMode="External"/><Relationship Id="rId16" Type="http://schemas.openxmlformats.org/officeDocument/2006/relationships/hyperlink" Target="https://www12.senado.leg.br/institucional/sis/pdfs/tabela-odontologia-v2-nv.pdf" TargetMode="External"/><Relationship Id="rId17" Type="http://schemas.openxmlformats.org/officeDocument/2006/relationships/hyperlink" Target="https://www.bcb.gov.br/content/acessoinformacao/bcsaude_docs/Tabela_Procedimentos_Odontologicos_Edital_Chamamento_26.pdf" TargetMode="External"/><Relationship Id="rId18" Type="http://schemas.openxmlformats.org/officeDocument/2006/relationships/hyperlink" Target="https://ciminas.mg.gov.br/" TargetMode="External"/><Relationship Id="rId19" Type="http://schemas.openxmlformats.org/officeDocument/2006/relationships/hyperlink" Target="https://www12.senado.leg.br/institucional/sis/pdfs/tabela-odontologia-v2-nv.pdf" TargetMode="External"/><Relationship Id="rId20" Type="http://schemas.openxmlformats.org/officeDocument/2006/relationships/hyperlink" Target="https://www.bcb.gov.br/content/acessoinformacao/bcsaude_docs/Tabela_Procedimentos_Odontologicos_Edital_Chamamento_26.pdf" TargetMode="External"/><Relationship Id="rId21" Type="http://schemas.openxmlformats.org/officeDocument/2006/relationships/hyperlink" Target="https://ciminas.mg.gov.br/" TargetMode="External"/><Relationship Id="rId22" Type="http://schemas.openxmlformats.org/officeDocument/2006/relationships/hyperlink" Target="https://fiosaude.org.br/wp-content/uploads/2025/04/tabela_Odontologica_Fiosaude_2025-2026.pdf" TargetMode="External"/><Relationship Id="rId23" Type="http://schemas.openxmlformats.org/officeDocument/2006/relationships/hyperlink" Target="https://www.bcb.gov.br/content/acessoinformacao/bcsaude_docs/Tabela_de_Reembolsos_procedimentos_odontologicos_2026.pdf" TargetMode="External"/><Relationship Id="rId24" Type="http://schemas.openxmlformats.org/officeDocument/2006/relationships/hyperlink" Target="https://ciminas.mg.gov.br/" TargetMode="External"/><Relationship Id="rId25" Type="http://schemas.openxmlformats.org/officeDocument/2006/relationships/hyperlink" Target="https://www12.senado.leg.br/institucional/sis/pdfs/tabela-odontologia-v2-nv.pdf" TargetMode="External"/><Relationship Id="rId26" Type="http://schemas.openxmlformats.org/officeDocument/2006/relationships/hyperlink" Target="https://fiosaude.org.br/wp-content/uploads/2025/04/tabela_Odontologica_Fiosaude_2025-2026.pdf" TargetMode="External"/><Relationship Id="rId27" Type="http://schemas.openxmlformats.org/officeDocument/2006/relationships/hyperlink" Target="https://ciminas.mg.gov.br/" TargetMode="External"/><Relationship Id="rId28" Type="http://schemas.openxmlformats.org/officeDocument/2006/relationships/hyperlink" Target="https://www12.senado.leg.br/institucional/sis/pdfs/tabela-odontologia-v2-nv.pdf" TargetMode="External"/><Relationship Id="rId29" Type="http://schemas.openxmlformats.org/officeDocument/2006/relationships/hyperlink" Target="https://www.stj.jus.br/sites/portalp/SiteAssets/Paginas/Sob-medida/Publico-interno/Pro-Ser/Informacoes-aos-credenciados/Tabela_Odontologica_PRECOS_2025.pdf" TargetMode="External"/><Relationship Id="rId30" Type="http://schemas.openxmlformats.org/officeDocument/2006/relationships/hyperlink" Target="https://ciminas.mg.gov.br/" TargetMode="External"/><Relationship Id="rId31" Type="http://schemas.openxmlformats.org/officeDocument/2006/relationships/hyperlink" Target="https://fiosaude.org.br/wp-content/uploads/2025/04/tabela_Odontologica_Fiosaude_2025-2026.pdf" TargetMode="External"/><Relationship Id="rId32" Type="http://schemas.openxmlformats.org/officeDocument/2006/relationships/hyperlink" Target="https://www.stj.jus.br/sites/portalp/SiteAssets/Paginas/Sob-medida/Publico-interno/Pro-Ser/Informacoes-aos-credenciados/Tabela_Odontologica_PRECOS_2025.pdf" TargetMode="External"/><Relationship Id="rId33" Type="http://schemas.openxmlformats.org/officeDocument/2006/relationships/hyperlink" Target="https://ciminas.mg.gov.br/" TargetMode="External"/><Relationship Id="rId34" Type="http://schemas.openxmlformats.org/officeDocument/2006/relationships/hyperlink" Target="https://fiosaude.org.br/wp-content/uploads/2025/04/tabela_Odontologica_Fiosaude_2025-2026.pdf" TargetMode="External"/><Relationship Id="rId35" Type="http://schemas.openxmlformats.org/officeDocument/2006/relationships/hyperlink" Target="https://www.stj.jus.br/sites/portalp/SiteAssets/Paginas/Sob-medida/Publico-interno/Pro-Ser/Informacoes-aos-credenciados/Tabela_Odontologica_PRECOS_2025.pdf" TargetMode="External"/><Relationship Id="rId36" Type="http://schemas.openxmlformats.org/officeDocument/2006/relationships/hyperlink" Target="https://ciminas.mg.gov.br/" TargetMode="External"/><Relationship Id="rId37" Type="http://schemas.openxmlformats.org/officeDocument/2006/relationships/hyperlink" Target="https://ciminas.mg.gov.br/" TargetMode="External"/><Relationship Id="rId38" Type="http://schemas.openxmlformats.org/officeDocument/2006/relationships/hyperlink" Target="https://ciminas.mg.gov.br/" TargetMode="External"/><Relationship Id="rId39" Type="http://schemas.openxmlformats.org/officeDocument/2006/relationships/hyperlink" Target="https://ciminas.mg.gov.br/" TargetMode="External"/><Relationship Id="rId40" Type="http://schemas.openxmlformats.org/officeDocument/2006/relationships/hyperlink" Target="https://ciminas.mg.gov.br/" TargetMode="External"/><Relationship Id="rId41" Type="http://schemas.openxmlformats.org/officeDocument/2006/relationships/hyperlink" Target="https://ciminas.mg.gov.br/" TargetMode="External"/><Relationship Id="rId42" Type="http://schemas.openxmlformats.org/officeDocument/2006/relationships/hyperlink" Target="https://ciminas.mg.gov.br/" TargetMode="External"/><Relationship Id="rId43" Type="http://schemas.openxmlformats.org/officeDocument/2006/relationships/hyperlink" Target="https://planassiste.mpu.mp.br/o-plan-assiste/normas/normas-cpmplementares/anexo_v_nc_50.pdf/@@download/file/Anexo_V_NC_50.pdf" TargetMode="External"/><Relationship Id="rId44" Type="http://schemas.openxmlformats.org/officeDocument/2006/relationships/hyperlink" Target="https://fiosaude.org.br/wp-content/uploads/2025/04/tabela_Odontologica_Fiosaude_2025-2026.pdf" TargetMode="External"/><Relationship Id="rId45" Type="http://schemas.openxmlformats.org/officeDocument/2006/relationships/hyperlink" Target="https://ciminas.mg.gov.br/" TargetMode="External"/><Relationship Id="rId46" Type="http://schemas.openxmlformats.org/officeDocument/2006/relationships/hyperlink" Target="https://fiosaude.org.br/wp-content/uploads/2025/04/tabela_Odontologica_Fiosaude_2025-2026.pdf" TargetMode="External"/><Relationship Id="rId47" Type="http://schemas.openxmlformats.org/officeDocument/2006/relationships/hyperlink" Target="https://www.bcb.gov.br/content/acessoinformacao/bcsaude_docs/Tabela_Procedimentos_Odontologicos_Edital_Chamamento_26.pdf" TargetMode="External"/><Relationship Id="rId48" Type="http://schemas.openxmlformats.org/officeDocument/2006/relationships/hyperlink" Target="https://ciminas.mg.gov.br/" TargetMode="External"/><Relationship Id="rId49" Type="http://schemas.openxmlformats.org/officeDocument/2006/relationships/hyperlink" Target="https://fiosaude.org.br/wp-content/uploads/2025/04/tabela_Odontologica_Fiosaude_2025-2026.pdf" TargetMode="External"/><Relationship Id="rId50" Type="http://schemas.openxmlformats.org/officeDocument/2006/relationships/hyperlink" Target="https://planassiste.mpu.mp.br/o-plan-assiste/normas/normas-cpmplementares/anexo_v_nc_50.pdf/@@download/file/Anexo_V_NC_50.pdf" TargetMode="External"/><Relationship Id="rId51" Type="http://schemas.openxmlformats.org/officeDocument/2006/relationships/hyperlink" Target="https://ciminas.mg.gov.br/" TargetMode="External"/><Relationship Id="rId52" Type="http://schemas.openxmlformats.org/officeDocument/2006/relationships/hyperlink" Target="https://fiosaude.org.br/wp-content/uploads/2025/04/tabela_Odontologica_Fiosaude_2025-2026.pdf" TargetMode="External"/><Relationship Id="rId53" Type="http://schemas.openxmlformats.org/officeDocument/2006/relationships/hyperlink" Target="https://planassiste.mpu.mp.br/o-plan-assiste/normas/normas-cpmplementares/anexo_v_nc_50.pdf/@@download/file/Anexo_V_NC_50.pdf" TargetMode="External"/><Relationship Id="rId54" Type="http://schemas.openxmlformats.org/officeDocument/2006/relationships/hyperlink" Target="https://ciminas.mg.gov.br/" TargetMode="External"/><Relationship Id="rId55" Type="http://schemas.openxmlformats.org/officeDocument/2006/relationships/hyperlink" Target="https://www.stj.jus.br/sites/portalp/SiteAssets/Paginas/Sob-medida/Publico-interno/Pro-Ser/Informacoes-aos-credenciados/Tabela_Odontologica_PRECOS_2025.pdf" TargetMode="External"/><Relationship Id="rId56" Type="http://schemas.openxmlformats.org/officeDocument/2006/relationships/hyperlink" Target="https://planassiste.mpu.mp.br/o-plan-assiste/normas/normas-cpmplementares/anexo_v_nc_50.pdf/@@download/file/Anexo_V_NC_50.pdf" TargetMode="External"/><Relationship Id="rId57" Type="http://schemas.openxmlformats.org/officeDocument/2006/relationships/hyperlink" Target="https://ciminas.mg.gov.br/" TargetMode="External"/><Relationship Id="rId58" Type="http://schemas.openxmlformats.org/officeDocument/2006/relationships/hyperlink" Target="https://fiosaude.org.br/wp-content/uploads/2025/04/tabela_Odontologica_Fiosaude_2025-2026.pdf" TargetMode="External"/><Relationship Id="rId59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60" Type="http://schemas.openxmlformats.org/officeDocument/2006/relationships/hyperlink" Target="https://ciminas.mg.gov.br/" TargetMode="External"/><Relationship Id="rId61" Type="http://schemas.openxmlformats.org/officeDocument/2006/relationships/hyperlink" Target="https://fiosaude.org.br/wp-content/uploads/2025/04/tabela_Odontologica_Fiosaude_2025-2026.pdf" TargetMode="External"/><Relationship Id="rId62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63" Type="http://schemas.openxmlformats.org/officeDocument/2006/relationships/hyperlink" Target="https://ciminas.mg.gov.br/" TargetMode="External"/><Relationship Id="rId64" Type="http://schemas.openxmlformats.org/officeDocument/2006/relationships/hyperlink" Target="https://fiosaude.org.br/wp-content/uploads/2025/04/tabela_Odontologica_Fiosaude_2025-2026.pdf" TargetMode="External"/><Relationship Id="rId65" Type="http://schemas.openxmlformats.org/officeDocument/2006/relationships/hyperlink" Target="https://ciminas.mg.gov.br/" TargetMode="External"/><Relationship Id="rId66" Type="http://schemas.openxmlformats.org/officeDocument/2006/relationships/hyperlink" Target="https://ciminas.mg.gov.br/" TargetMode="External"/><Relationship Id="rId67" Type="http://schemas.openxmlformats.org/officeDocument/2006/relationships/hyperlink" Target="https://www12.senado.leg.br/institucional/sis/pdfs/tabela-odontologia-v2-nv.pdf" TargetMode="External"/><Relationship Id="rId68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69" Type="http://schemas.openxmlformats.org/officeDocument/2006/relationships/hyperlink" Target="https://ciminas.mg.gov.br/" TargetMode="External"/><Relationship Id="rId70" Type="http://schemas.openxmlformats.org/officeDocument/2006/relationships/hyperlink" Target="https://www12.senado.leg.br/institucional/sis/pdfs/tabela-odontologia-v2-nv.pdf" TargetMode="External"/><Relationship Id="rId71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72" Type="http://schemas.openxmlformats.org/officeDocument/2006/relationships/hyperlink" Target="https://ciminas.mg.gov.br/" TargetMode="External"/><Relationship Id="rId73" Type="http://schemas.openxmlformats.org/officeDocument/2006/relationships/hyperlink" Target="https://www12.senado.leg.br/institucional/sis/pdfs/tabela-odontologia-v2-nv.pdf" TargetMode="External"/><Relationship Id="rId74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75" Type="http://schemas.openxmlformats.org/officeDocument/2006/relationships/hyperlink" Target="https://www12.senado.leg.br/institucional/sis/pdfs/tabela-odontologia-v2-nv.pdf" TargetMode="External"/><Relationship Id="rId76" Type="http://schemas.openxmlformats.org/officeDocument/2006/relationships/hyperlink" Target="https://www.bcb.gov.br/content/acessoinformacao/bcsaude_docs/Tabela_Procedimentos_Odontologicos_Edital_Chamamento_26.pdf" TargetMode="External"/><Relationship Id="rId77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78" Type="http://schemas.openxmlformats.org/officeDocument/2006/relationships/hyperlink" Target="https://ciminas.mg.gov.br/" TargetMode="External"/><Relationship Id="rId79" Type="http://schemas.openxmlformats.org/officeDocument/2006/relationships/hyperlink" Target="https://www12.senado.leg.br/institucional/sis/pdfs/tabela-odontologia-v2-nv.pdf" TargetMode="External"/><Relationship Id="rId80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81" Type="http://schemas.openxmlformats.org/officeDocument/2006/relationships/hyperlink" Target="https://ciminas.mg.gov.br/" TargetMode="External"/><Relationship Id="rId82" Type="http://schemas.openxmlformats.org/officeDocument/2006/relationships/hyperlink" Target="https://www12.senado.leg.br/institucional/sis/pdfs/tabela-odontologia-v2-nv.pdf" TargetMode="External"/><Relationship Id="rId83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84" Type="http://schemas.openxmlformats.org/officeDocument/2006/relationships/hyperlink" Target="https://ciminas.mg.gov.br/" TargetMode="External"/><Relationship Id="rId85" Type="http://schemas.openxmlformats.org/officeDocument/2006/relationships/hyperlink" Target="https://www12.senado.leg.br/institucional/sis/pdfs/tabela-odontologia-v2-nv.pdf" TargetMode="External"/><Relationship Id="rId86" Type="http://schemas.openxmlformats.org/officeDocument/2006/relationships/hyperlink" Target="https://www.consud.org/uploads/pagina/arquivos/RESOLUCAO-034-2025-TABELA-DE-PROTESE-ODONTOLOGICA-docx-2.pdf" TargetMode="External"/><Relationship Id="rId87" Type="http://schemas.openxmlformats.org/officeDocument/2006/relationships/hyperlink" Target="https://ciminas.mg.gov.br/" TargetMode="External"/><Relationship Id="rId88" Type="http://schemas.openxmlformats.org/officeDocument/2006/relationships/hyperlink" Target="https://www12.senado.leg.br/institucional/sis/pdfs/tabela-odontologia-v2-nv.pdf" TargetMode="External"/><Relationship Id="rId89" Type="http://schemas.openxmlformats.org/officeDocument/2006/relationships/hyperlink" Target="https://fiosaude.org.br/wp-content/uploads/2025/04/tabela_Odontologica_Fiosaude_2025-2026.pdf" TargetMode="External"/><Relationship Id="rId90" Type="http://schemas.openxmlformats.org/officeDocument/2006/relationships/hyperlink" Target="https://ciminas.mg.gov.br/" TargetMode="External"/><Relationship Id="rId91" Type="http://schemas.openxmlformats.org/officeDocument/2006/relationships/hyperlink" Target="https://www12.senado.leg.br/institucional/sis/pdfs/tabela-odontologia-v2-nv.pdf" TargetMode="External"/><Relationship Id="rId92" Type="http://schemas.openxmlformats.org/officeDocument/2006/relationships/hyperlink" Target="https://www.consud.org/uploads/pagina/arquivos/RESOLUCAO-034-2025-TABELA-DE-PROTESE-ODONTOLOGICA-docx-2.pdf" TargetMode="External"/><Relationship Id="rId93" Type="http://schemas.openxmlformats.org/officeDocument/2006/relationships/hyperlink" Target="https://ciminas.mg.gov.br/" TargetMode="External"/><Relationship Id="rId94" Type="http://schemas.openxmlformats.org/officeDocument/2006/relationships/hyperlink" Target="https://www12.senado.leg.br/institucional/sis/pdfs/tabela-odontologia-v2-nv.pdf" TargetMode="External"/><Relationship Id="rId95" Type="http://schemas.openxmlformats.org/officeDocument/2006/relationships/hyperlink" Target="https://www.tjdft.jus.br/pro-saude/tabelas-proprias-do-pro-saude/tabela-propria-odontologica-ajuste-cynthia.pdf" TargetMode="External"/><Relationship Id="rId96" Type="http://schemas.openxmlformats.org/officeDocument/2006/relationships/hyperlink" Target="https://ciminas.mg.gov.br/" TargetMode="External"/><Relationship Id="rId97" Type="http://schemas.openxmlformats.org/officeDocument/2006/relationships/hyperlink" Target="https://www.bcb.gov.br/content/acessoinformacao/bcsaude_docs/Tabela_Procedimentos_Odontologicos_Edital_Chamamento_26.pdf" TargetMode="External"/><Relationship Id="rId98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99" Type="http://schemas.openxmlformats.org/officeDocument/2006/relationships/hyperlink" Target="https://ciminas.mg.gov.br/" TargetMode="External"/><Relationship Id="rId100" Type="http://schemas.openxmlformats.org/officeDocument/2006/relationships/hyperlink" Target="https://www12.senado.leg.br/institucional/sis/pdfs/tabela-odontologia-v2-nv.pdf" TargetMode="External"/><Relationship Id="rId101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102" Type="http://schemas.openxmlformats.org/officeDocument/2006/relationships/hyperlink" Target="https://ciminas.mg.gov.br/" TargetMode="External"/><Relationship Id="rId103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104" Type="http://schemas.openxmlformats.org/officeDocument/2006/relationships/hyperlink" Target="https://ciminas.mg.gov.br/" TargetMode="External"/><Relationship Id="rId105" Type="http://schemas.openxmlformats.org/officeDocument/2006/relationships/hyperlink" Target="https://fiosaude.org.br/wp-content/uploads/2025/04/tabela_Odontologica_Fiosaude_2025-2026.pdf" TargetMode="External"/><Relationship Id="rId106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107" Type="http://schemas.openxmlformats.org/officeDocument/2006/relationships/hyperlink" Target="https://ciminas.mg.gov.br/" TargetMode="External"/><Relationship Id="rId108" Type="http://schemas.openxmlformats.org/officeDocument/2006/relationships/hyperlink" Target="https://fiosaude.org.br/wp-content/uploads/2025/04/tabela_Odontologica_Fiosaude_2025-2026.pdf" TargetMode="External"/><Relationship Id="rId109" Type="http://schemas.openxmlformats.org/officeDocument/2006/relationships/hyperlink" Target="https://www.stj.jus.br/sites/portalp/SiteAssets/Paginas/Sob-medida/Publico-interno/Pro-Ser/Informacoes-aos-credenciados/Tabela_Odontologica_PRECOS_2025.pdf" TargetMode="External"/><Relationship Id="rId110" Type="http://schemas.openxmlformats.org/officeDocument/2006/relationships/hyperlink" Target="https://ciminas.mg.gov.br/" TargetMode="External"/><Relationship Id="rId111" Type="http://schemas.openxmlformats.org/officeDocument/2006/relationships/hyperlink" Target="https://www12.senado.leg.br/institucional/sis/pdfs/tabela-odontologia-v2-nv.pdf" TargetMode="External"/><Relationship Id="rId112" Type="http://schemas.openxmlformats.org/officeDocument/2006/relationships/hyperlink" Target="https://www.stj.jus.br/sites/portalp/SiteAssets/Paginas/Sob-medida/Publico-interno/Pro-Ser/Informacoes-aos-credenciados/Tabela_Odontologica_PRECOS_2025.pdf" TargetMode="External"/><Relationship Id="rId113" Type="http://schemas.openxmlformats.org/officeDocument/2006/relationships/hyperlink" Target="https://ciminas.mg.gov.br/" TargetMode="External"/><Relationship Id="rId114" Type="http://schemas.openxmlformats.org/officeDocument/2006/relationships/hyperlink" Target="https://www12.senado.leg.br/institucional/sis/pdfs/tabela-odontologia-v2-nv.pdf" TargetMode="External"/><Relationship Id="rId115" Type="http://schemas.openxmlformats.org/officeDocument/2006/relationships/hyperlink" Target="https://www.stj.jus.br/sites/portalp/SiteAssets/Paginas/Sob-medida/Publico-interno/Pro-Ser/Informacoes-aos-credenciados/Tabela_Odontologica_PRECOS_2025.pdf" TargetMode="External"/><Relationship Id="rId116" Type="http://schemas.openxmlformats.org/officeDocument/2006/relationships/hyperlink" Target="https://ciminas.mg.gov.br/" TargetMode="External"/><Relationship Id="rId117" Type="http://schemas.openxmlformats.org/officeDocument/2006/relationships/hyperlink" Target="https://www12.senado.leg.br/institucional/sis/pdfs/tabela-odontologia-v2-nv.pdf" TargetMode="External"/><Relationship Id="rId118" Type="http://schemas.openxmlformats.org/officeDocument/2006/relationships/hyperlink" Target="https://planassiste.mpu.mp.br/o-plan-assiste/normas/normas-cpmplementares/anexo_v_nc_50.pdf/@@download/file/Anexo_V_NC_50.pdf" TargetMode="External"/><Relationship Id="rId119" Type="http://schemas.openxmlformats.org/officeDocument/2006/relationships/hyperlink" Target="https://ciminas.mg.gov.br/" TargetMode="External"/><Relationship Id="rId120" Type="http://schemas.openxmlformats.org/officeDocument/2006/relationships/hyperlink" Target="https://www12.senado.leg.br/institucional/sis/pdfs/tabela-odontologia-v2-nv.pdf" TargetMode="External"/><Relationship Id="rId121" Type="http://schemas.openxmlformats.org/officeDocument/2006/relationships/hyperlink" Target="https://planassiste.mpu.mp.br/o-plan-assiste/normas/normas-cpmplementares/anexo_v_nc_50.pdf/@@download/file/Anexo_V_NC_50.pdf" TargetMode="External"/><Relationship Id="rId122" Type="http://schemas.openxmlformats.org/officeDocument/2006/relationships/hyperlink" Target="https://ciminas.mg.gov.br/" TargetMode="External"/><Relationship Id="rId123" Type="http://schemas.openxmlformats.org/officeDocument/2006/relationships/hyperlink" Target="https://www12.senado.leg.br/institucional/sis/pdfs/tabela-odontologia-v2-nv.pdf" TargetMode="External"/><Relationship Id="rId124" Type="http://schemas.openxmlformats.org/officeDocument/2006/relationships/hyperlink" Target="https://planassiste.mpu.mp.br/o-plan-assiste/normas/normas-cpmplementares/anexo_v_nc_50.pdf/@@download/file/Anexo_V_NC_50.pdf" TargetMode="External"/><Relationship Id="rId125" Type="http://schemas.openxmlformats.org/officeDocument/2006/relationships/hyperlink" Target="https://ciminas.mg.gov.br/" TargetMode="External"/><Relationship Id="rId126" Type="http://schemas.openxmlformats.org/officeDocument/2006/relationships/hyperlink" Target="https://www12.senado.leg.br/institucional/sis/pdfs/tabela-odontologia-v2-nv.pdf" TargetMode="External"/><Relationship Id="rId127" Type="http://schemas.openxmlformats.org/officeDocument/2006/relationships/hyperlink" Target="https://planassiste.mpu.mp.br/o-plan-assiste/normas/normas-cpmplementares/anexo_v_nc_50.pdf/@@download/file/Anexo_V_NC_50.pdf" TargetMode="External"/><Relationship Id="rId128" Type="http://schemas.openxmlformats.org/officeDocument/2006/relationships/hyperlink" Target="https://ciminas.mg.gov.br/" TargetMode="External"/><Relationship Id="rId129" Type="http://schemas.openxmlformats.org/officeDocument/2006/relationships/hyperlink" Target="https://www12.senado.leg.br/institucional/sis/pdfs/tabela-odontologia-v2-nv.pdf" TargetMode="External"/><Relationship Id="rId130" Type="http://schemas.openxmlformats.org/officeDocument/2006/relationships/hyperlink" Target="https://www.bcb.gov.br/content/acessoinformacao/bcsaude_docs/Tabela_Procedimentos_Odontologicos_Edital_Chamamento_26.pdf" TargetMode="External"/><Relationship Id="rId131" Type="http://schemas.openxmlformats.org/officeDocument/2006/relationships/hyperlink" Target="https://ciminas.mg.gov.br/" TargetMode="External"/><Relationship Id="rId132" Type="http://schemas.openxmlformats.org/officeDocument/2006/relationships/hyperlink" Target="https://www12.senado.leg.br/institucional/sis/pdfs/tabela-odontologia-v2-nv.pdf" TargetMode="External"/><Relationship Id="rId133" Type="http://schemas.openxmlformats.org/officeDocument/2006/relationships/hyperlink" Target="https://www.bcb.gov.br/content/acessoinformacao/bcsaude_docs/Tabela_Procedimentos_Odontologicos_Edital_Chamamento_26.pdf" TargetMode="External"/><Relationship Id="rId134" Type="http://schemas.openxmlformats.org/officeDocument/2006/relationships/hyperlink" Target="https://ciminas.mg.gov.br/" TargetMode="External"/><Relationship Id="rId135" Type="http://schemas.openxmlformats.org/officeDocument/2006/relationships/hyperlink" Target="https://www12.senado.leg.br/institucional/sis/pdfs/tabela-odontologia-v2-nv.pdf" TargetMode="External"/><Relationship Id="rId136" Type="http://schemas.openxmlformats.org/officeDocument/2006/relationships/hyperlink" Target="https://planassiste.mpu.mp.br/o-plan-assiste/normas/normas-cpmplementares/anexo_v_nc_50.pdf/@@download/file/Anexo_V_NC_50.pdf" TargetMode="External"/><Relationship Id="rId137" Type="http://schemas.openxmlformats.org/officeDocument/2006/relationships/hyperlink" Target="https://ciminas.mg.gov.br/" TargetMode="External"/><Relationship Id="rId138" Type="http://schemas.openxmlformats.org/officeDocument/2006/relationships/hyperlink" Target="https://www12.senado.leg.br/institucional/sis/pdfs/tabela-odontologia-v2-nv.pdf" TargetMode="External"/><Relationship Id="rId139" Type="http://schemas.openxmlformats.org/officeDocument/2006/relationships/hyperlink" Target="https://fiosaude.org.br/wp-content/uploads/2025/04/tabela_Odontologica_Fiosaude_2025-2026.pdf" TargetMode="External"/><Relationship Id="rId140" Type="http://schemas.openxmlformats.org/officeDocument/2006/relationships/hyperlink" Target="https://ciminas.mg.gov.br/" TargetMode="External"/><Relationship Id="rId141" Type="http://schemas.openxmlformats.org/officeDocument/2006/relationships/hyperlink" Target="https://www12.senado.leg.br/institucional/sis/pdfs/tabela-odontologia-v2-nv.pdf" TargetMode="External"/><Relationship Id="rId142" Type="http://schemas.openxmlformats.org/officeDocument/2006/relationships/hyperlink" Target="https://planassiste.mpu.mp.br/o-plan-assiste/normas/normas-cpmplementares/anexo_v_nc_50.pdf/@@download/file/Anexo_V_NC_50.pdf" TargetMode="External"/><Relationship Id="rId143" Type="http://schemas.openxmlformats.org/officeDocument/2006/relationships/hyperlink" Target="https://ciminas.mg.gov.br/" TargetMode="External"/><Relationship Id="rId144" Type="http://schemas.openxmlformats.org/officeDocument/2006/relationships/hyperlink" Target="https://www12.senado.leg.br/institucional/sis/pdfs/tabela-odontologia-v2-nv.pdf" TargetMode="External"/><Relationship Id="rId145" Type="http://schemas.openxmlformats.org/officeDocument/2006/relationships/hyperlink" Target="https://planassiste.mpu.mp.br/o-plan-assiste/normas/normas-cpmplementares/anexo_v_nc_50.pdf/@@download/file/Anexo_V_NC_50.pdf" TargetMode="External"/><Relationship Id="rId146" Type="http://schemas.openxmlformats.org/officeDocument/2006/relationships/hyperlink" Target="https://ciminas.mg.gov.br/" TargetMode="External"/><Relationship Id="rId147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148" Type="http://schemas.openxmlformats.org/officeDocument/2006/relationships/hyperlink" Target="https://ciminas.mg.gov.br/" TargetMode="External"/><Relationship Id="rId149" Type="http://schemas.openxmlformats.org/officeDocument/2006/relationships/hyperlink" Target="https://www12.senado.leg.br/institucional/sis/pdfs/tabela-odontologia-v2-nv.pdf" TargetMode="External"/><Relationship Id="rId150" Type="http://schemas.openxmlformats.org/officeDocument/2006/relationships/hyperlink" Target="https://fiosaude.org.br/wp-content/uploads/2025/04/tabela_Odontologica_Fiosaude_2025-2026.pdf" TargetMode="External"/><Relationship Id="rId151" Type="http://schemas.openxmlformats.org/officeDocument/2006/relationships/hyperlink" Target="https://ciminas.mg.gov.br/" TargetMode="External"/><Relationship Id="rId152" Type="http://schemas.openxmlformats.org/officeDocument/2006/relationships/hyperlink" Target="https://fiosaude.org.br/wp-content/uploads/2025/04/tabela_Odontologica_Fiosaude_2025-2026.pdf" TargetMode="External"/><Relationship Id="rId153" Type="http://schemas.openxmlformats.org/officeDocument/2006/relationships/hyperlink" Target="https://www.trf3.jus.br/documentos/ubas/Odontologia/Credenc_pac_espec_vigencia_1_08_07.pdf" TargetMode="External"/><Relationship Id="rId154" Type="http://schemas.openxmlformats.org/officeDocument/2006/relationships/hyperlink" Target="https://ciminas.mg.gov.br/" TargetMode="External"/><Relationship Id="rId155" Type="http://schemas.openxmlformats.org/officeDocument/2006/relationships/hyperlink" Target="https://ciminas.mg.gov.br/" TargetMode="External"/><Relationship Id="rId156" Type="http://schemas.openxmlformats.org/officeDocument/2006/relationships/hyperlink" Target="https://planassiste.mpu.mp.br/o-plan-assiste/normas/normas-cpmplementares/anexo_v_nc_50.pdf/@@download/file/Anexo_V_NC_50.pdf" TargetMode="External"/><Relationship Id="rId157" Type="http://schemas.openxmlformats.org/officeDocument/2006/relationships/hyperlink" Target="https://www.tjdft.jus.br/pro-saude/tabelas-proprias-do-pro-saude/tabela-propria-odontologica-ajuste-cynthia.pdf" TargetMode="External"/><Relationship Id="rId158" Type="http://schemas.openxmlformats.org/officeDocument/2006/relationships/hyperlink" Target="https://ciminas.mg.gov.br/" TargetMode="External"/><Relationship Id="rId159" Type="http://schemas.openxmlformats.org/officeDocument/2006/relationships/hyperlink" Target="https://planassiste.mpu.mp.br/o-plan-assiste/normas/normas-cpmplementares/anexo_v_nc_50.pdf/@@download/file/Anexo_V_NC_50.pdf" TargetMode="External"/><Relationship Id="rId160" Type="http://schemas.openxmlformats.org/officeDocument/2006/relationships/hyperlink" Target="https://ciminas.mg.gov.br/" TargetMode="External"/><Relationship Id="rId161" Type="http://schemas.openxmlformats.org/officeDocument/2006/relationships/hyperlink" Target="https://planassiste.mpu.mp.br/o-plan-assiste/normas/normas-cpmplementares/anexo_v_nc_50.pdf/@@download/file/Anexo_V_NC_50.pdf" TargetMode="External"/><Relationship Id="rId162" Type="http://schemas.openxmlformats.org/officeDocument/2006/relationships/hyperlink" Target="https://www.tjdft.jus.br/pro-saude/tabelas-proprias-do-pro-saude/tabela-propria-odontologica-ajuste-cynthia.pdf" TargetMode="External"/><Relationship Id="rId163" Type="http://schemas.openxmlformats.org/officeDocument/2006/relationships/hyperlink" Target="https://ciminas.mg.gov.br/" TargetMode="External"/><Relationship Id="rId164" Type="http://schemas.openxmlformats.org/officeDocument/2006/relationships/hyperlink" Target="https://www12.senado.leg.br/institucional/sis/pdfs/tabela-odontologia-v2-nv.pdf" TargetMode="External"/><Relationship Id="rId165" Type="http://schemas.openxmlformats.org/officeDocument/2006/relationships/hyperlink" Target="https://www.tjdft.jus.br/pro-saude/tabelas-proprias-do-pro-saude/tabela-propria-odontologica-ajuste-cynthia.pdf" TargetMode="External"/><Relationship Id="rId166" Type="http://schemas.openxmlformats.org/officeDocument/2006/relationships/hyperlink" Target="https://ciminas.mg.gov.br/" TargetMode="External"/><Relationship Id="rId167" Type="http://schemas.openxmlformats.org/officeDocument/2006/relationships/hyperlink" Target="https://fiosaude.org.br/wp-content/uploads/2025/04/tabela_Odontologica_Fiosaude_2025-2026.pdf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pncp.gov.br/pncp-api/v1/orgaos/71203715000190/compras/2026/1/arquivos/1" TargetMode="External"/><Relationship Id="rId2" Type="http://schemas.openxmlformats.org/officeDocument/2006/relationships/hyperlink" Target="https://ciminas.mg.gov.br/" TargetMode="External"/><Relationship Id="rId3" Type="http://schemas.openxmlformats.org/officeDocument/2006/relationships/hyperlink" Target="https://icismep.mg.gov.br/wp-content/uploads/2026/02/03.-TSPS-JANEIRO-DE-2026-ATUALIZACAO-II-1.pdf" TargetMode="External"/><Relationship Id="rId4" Type="http://schemas.openxmlformats.org/officeDocument/2006/relationships/hyperlink" Target="https://saude.es.gov.br/Media/sesa/Credenciamento/EDITAL%20SESA-SRSV-NRA%20001-26.pdf" TargetMode="External"/><Relationship Id="rId5" Type="http://schemas.openxmlformats.org/officeDocument/2006/relationships/hyperlink" Target="https://www.cisame.mg.gov.br/compliance/tabela-de-precos-e-servicos/" TargetMode="External"/><Relationship Id="rId6" Type="http://schemas.openxmlformats.org/officeDocument/2006/relationships/hyperlink" Target="https://www.procede.api.br/publica/documentos/PRYXAMTCDSCNU-20260528-145706--!--CREDENCIAMENTO_MEDICOS_EDITAL_2026.pdf" TargetMode="External"/><Relationship Id="rId7" Type="http://schemas.openxmlformats.org/officeDocument/2006/relationships/hyperlink" Target="https://www.treslagoas.ms.gov.br/prefeitura-de-tres-lagoas-amplia-acesso-a-consultas-especializadas-com-novo-credenciamento-na-saude/" TargetMode="External"/><Relationship Id="rId8" Type="http://schemas.openxmlformats.org/officeDocument/2006/relationships/hyperlink" Target="https://cisamusep.org.br/uploads/pagina/arquivos/Tabela-Cisamusep-1206.pdf" TargetMode="External"/><Relationship Id="rId9" Type="http://schemas.openxmlformats.org/officeDocument/2006/relationships/hyperlink" Target="https://www.cispara.mg.gov.br/transparencia/tabela-oficial-de-procedimentos/tabela-oficial-de-procedimentos-2026/543-01-tabela-oficial-de-consultas-procedimentos-e-servicos-janeiro-de-2026/file" TargetMode="External"/><Relationship Id="rId10" Type="http://schemas.openxmlformats.org/officeDocument/2006/relationships/hyperlink" Target="https://www.sarapui.sp.gov.br/ata-registro-preco/page/1/download/839" TargetMode="External"/><Relationship Id="rId11" Type="http://schemas.openxmlformats.org/officeDocument/2006/relationships/hyperlink" Target="https://www.cimexpandidasul.com.br/institucional/tabela-de-servicos/562-tabela-atualizada-01-01-2026/file" TargetMode="External"/><Relationship Id="rId12" Type="http://schemas.openxmlformats.org/officeDocument/2006/relationships/hyperlink" Target="https://quilombo.sc.gov.br/uploads/sites/96/2025/04/5-EDITAL-DE-CREDENCIAMENTO-05-2025-exames-imagem.pdf" TargetMode="External"/><Relationship Id="rId13" Type="http://schemas.openxmlformats.org/officeDocument/2006/relationships/hyperlink" Target="https://www.cisamusep.org.br/uploads/arquivoChamamento/TABELA-CISAMUSEP-2026.pdf" TargetMode="External"/><Relationship Id="rId14" Type="http://schemas.openxmlformats.org/officeDocument/2006/relationships/hyperlink" Target="https://lucasdorioverde.mt.gov.br/arquivos//licitacoes/3709/edital.pdf" TargetMode="External"/><Relationship Id="rId15" Type="http://schemas.openxmlformats.org/officeDocument/2006/relationships/hyperlink" Target="https://inovacapixaba.es.gov.br/media/Editais/Licita&#231;&#227;o/Preg&#227;o/Edital_n&#186;_068_2025_2024_T5Q1Z_Servi&#231;os_M&#233;dicos_de_Ecocardiograma_REPUBL..pdf" TargetMode="External"/><Relationship Id="rId16" Type="http://schemas.openxmlformats.org/officeDocument/2006/relationships/hyperlink" Target="https://pncp.gov.br/app/editais/05193057000178/2026/124" TargetMode="External"/><Relationship Id="rId17" Type="http://schemas.openxmlformats.org/officeDocument/2006/relationships/hyperlink" Target="https://pncp.gov.br/pncp-api/v1/orgaos/01603719000180/compras/2025/95/arquivos/1" TargetMode="External"/><Relationship Id="rId18" Type="http://schemas.openxmlformats.org/officeDocument/2006/relationships/hyperlink" Target="https://www.praiagrande.sp.gov.br/arquivos/ChamadaPublica/46047.pdf" TargetMode="External"/><Relationship Id="rId19" Type="http://schemas.openxmlformats.org/officeDocument/2006/relationships/hyperlink" Target="https://copirn.org.br/wp-content/uploads/2025/01/TABELA-DE-SERVICOS-DE-SAUDE-COPIRN-2.pdf" TargetMode="External"/><Relationship Id="rId20" Type="http://schemas.openxmlformats.org/officeDocument/2006/relationships/hyperlink" Target="https://www.vargem.sc.gov.br/uploads/sites/94/2025/03/Edital-FMS-VRG-2025_013_PE_005_90023-Ultrassom.pdf" TargetMode="External"/><Relationship Id="rId21" Type="http://schemas.openxmlformats.org/officeDocument/2006/relationships/hyperlink" Target="https://ia.mabus.com.br/licitacao/6466406/credenciamento-consorcio-intermunicipal-de-saude-uniao-da-mata-leopoldina-mg" TargetMode="External"/><Relationship Id="rId22" Type="http://schemas.openxmlformats.org/officeDocument/2006/relationships/hyperlink" Target="https://pncp.gov.br/app/editais/13674817000197/2026/64" TargetMode="External"/><Relationship Id="rId23" Type="http://schemas.openxmlformats.org/officeDocument/2006/relationships/hyperlink" Target="https://www12.senado.leg.br/institucional/sis/pdfs/tabela-odontologia-v2-nv.pdf" TargetMode="External"/><Relationship Id="rId24" Type="http://schemas.openxmlformats.org/officeDocument/2006/relationships/hyperlink" Target="https://planassiste.mpu.mp.br/o-plan-assiste/normas/normas-cpmplementares/anexo_v_nc_50.pdf/@@download/file/Anexo_V_NC_50.pdf" TargetMode="External"/><Relationship Id="rId25" Type="http://schemas.openxmlformats.org/officeDocument/2006/relationships/hyperlink" Target="https://www.gov.br/mme/pt-br/assuntos/orgaos-vinculados/nuclep/plano-de-saude/orientacoes-ao-credenciado/TABELADEPROCEDIMENTOSODONTOLGICOS.pdf" TargetMode="External"/><Relationship Id="rId26" Type="http://schemas.openxmlformats.org/officeDocument/2006/relationships/hyperlink" Target="https://www.bcb.gov.br/content/acessoinformacao/bcsaude_docs/Tabela_de_Reembolsos_procedimentos_odontologicos_2026.pdf" TargetMode="External"/><Relationship Id="rId27" Type="http://schemas.openxmlformats.org/officeDocument/2006/relationships/hyperlink" Target="https://www.bcb.gov.br/content/acessoinformacao/bcsaude_docs/Tabela_Procedimentos_Odontologicos_Edital_Chamamento_26.pdf" TargetMode="External"/><Relationship Id="rId28" Type="http://schemas.openxmlformats.org/officeDocument/2006/relationships/hyperlink" Target="https://fiosaude.org.br/wp-content/uploads/2025/04/tabela_Odontologica_Fiosaude_2025-2026.pdf" TargetMode="External"/><Relationship Id="rId29" Type="http://schemas.openxmlformats.org/officeDocument/2006/relationships/hyperlink" Target="https://www.stj.jus.br/sites/portalp/SiteAssets/Paginas/Sob-medida/Publico-interno/Pro-Ser/Informacoes-aos-credenciados/Tabela_Odontologica_PRECOS_2025.pdf" TargetMode="External"/><Relationship Id="rId30" Type="http://schemas.openxmlformats.org/officeDocument/2006/relationships/hyperlink" Target="https://www.consud.org/uploads/pagina/arquivos/RESOLUCAO-034-2025-TABELA-DE-PROTESE-ODONTOLOGICA-docx-2.pdf" TargetMode="External"/><Relationship Id="rId31" Type="http://schemas.openxmlformats.org/officeDocument/2006/relationships/hyperlink" Target="https://www.tjdft.jus.br/pro-saude/tabelas-proprias-do-pro-saude/tabela-propria-odontologica-ajuste-cynthia.pdf" TargetMode="External"/><Relationship Id="rId32" Type="http://schemas.openxmlformats.org/officeDocument/2006/relationships/hyperlink" Target="https://www.trf3.jus.br/documentos/ubas/Odontologia/Credenc_pac_espec_vigencia_1_08_07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4" t="s">
        <v>5</v>
      </c>
      <c r="B6" s="5" t="n">
        <f aca="false">'Lote 1 - Mamografia'!V4</f>
        <v>4615986</v>
      </c>
    </row>
    <row r="7" customFormat="false" ht="15" hidden="false" customHeight="false" outlineLevel="0" collapsed="false">
      <c r="A7" s="4" t="s">
        <v>6</v>
      </c>
      <c r="B7" s="5" t="n">
        <f aca="false">'Lote 2 - Consultas'!V18</f>
        <v>22868454.05</v>
      </c>
    </row>
    <row r="8" customFormat="false" ht="15" hidden="false" customHeight="false" outlineLevel="0" collapsed="false">
      <c r="A8" s="4" t="s">
        <v>7</v>
      </c>
      <c r="B8" s="5" t="n">
        <f aca="false">'Lote 3 - Exames'!V12</f>
        <v>17203713.65</v>
      </c>
    </row>
    <row r="9" customFormat="false" ht="15" hidden="false" customHeight="false" outlineLevel="0" collapsed="false">
      <c r="A9" s="4" t="s">
        <v>8</v>
      </c>
      <c r="B9" s="5" t="n">
        <f aca="false">'Lote 4 - Ressonancia'!V5</f>
        <v>11851030</v>
      </c>
    </row>
    <row r="10" customFormat="false" ht="15" hidden="false" customHeight="false" outlineLevel="0" collapsed="false">
      <c r="A10" s="4" t="s">
        <v>9</v>
      </c>
      <c r="B10" s="5" t="n">
        <f aca="false">'Lote 5 - Odontologia'!V67</f>
        <v>20579182.67</v>
      </c>
    </row>
    <row r="11" customFormat="false" ht="15" hidden="false" customHeight="false" outlineLevel="0" collapsed="false">
      <c r="A11" s="6" t="s">
        <v>10</v>
      </c>
      <c r="B11" s="7" t="n">
        <f aca="false">SUM(B6:B10)</f>
        <v>77118366.37</v>
      </c>
    </row>
    <row r="13" customFormat="false" ht="15" hidden="false" customHeight="true" outlineLevel="0" collapsed="false">
      <c r="A13" s="8" t="s">
        <v>11</v>
      </c>
      <c r="B13" s="8"/>
      <c r="C13" s="8"/>
    </row>
    <row r="14" customFormat="false" ht="15" hidden="false" customHeight="false" outlineLevel="0" collapsed="false">
      <c r="A14" s="8"/>
      <c r="B14" s="8"/>
      <c r="C14" s="8"/>
    </row>
    <row r="15" customFormat="false" ht="15" hidden="false" customHeight="false" outlineLevel="0" collapsed="false">
      <c r="A15" s="8"/>
      <c r="B15" s="8"/>
      <c r="C15" s="8"/>
    </row>
    <row r="16" customFormat="false" ht="15" hidden="false" customHeight="false" outlineLevel="0" collapsed="false">
      <c r="A16" s="8"/>
      <c r="B16" s="8"/>
      <c r="C16" s="8"/>
    </row>
    <row r="17" customFormat="false" ht="15" hidden="false" customHeight="false" outlineLevel="0" collapsed="false">
      <c r="A17" s="8"/>
      <c r="B17" s="8"/>
      <c r="C17" s="8"/>
    </row>
    <row r="18" customFormat="false" ht="15" hidden="false" customHeight="false" outlineLevel="0" collapsed="false">
      <c r="A18" s="8"/>
      <c r="B18" s="8"/>
      <c r="C18" s="8"/>
    </row>
  </sheetData>
  <mergeCells count="2">
    <mergeCell ref="A1:C1"/>
    <mergeCell ref="A13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7" min="14" style="0" width="12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5"/>
    <col collapsed="false" customWidth="true" hidden="false" outlineLevel="0" max="21" min="21" style="0" width="13"/>
    <col collapsed="false" customWidth="true" hidden="false" outlineLevel="0" max="22" min="22" style="0" width="18"/>
  </cols>
  <sheetData>
    <row r="1" customFormat="false" ht="17.35" hidden="false" customHeight="fals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1.5" hidden="false" customHeight="true" outlineLevel="0" collapsed="false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9" t="s">
        <v>27</v>
      </c>
      <c r="P2" s="9" t="s">
        <v>28</v>
      </c>
      <c r="Q2" s="9" t="s">
        <v>29</v>
      </c>
      <c r="R2" s="9" t="s">
        <v>30</v>
      </c>
      <c r="S2" s="9" t="s">
        <v>31</v>
      </c>
      <c r="T2" s="9" t="s">
        <v>32</v>
      </c>
      <c r="U2" s="9" t="s">
        <v>33</v>
      </c>
      <c r="V2" s="9" t="s">
        <v>34</v>
      </c>
    </row>
    <row r="3" customFormat="false" ht="57.45" hidden="false" customHeight="false" outlineLevel="0" collapsed="false">
      <c r="A3" s="10" t="n">
        <v>1</v>
      </c>
      <c r="B3" s="10" t="s">
        <v>35</v>
      </c>
      <c r="C3" s="10" t="s">
        <v>36</v>
      </c>
      <c r="D3" s="11" t="n">
        <v>34600</v>
      </c>
      <c r="E3" s="10" t="s">
        <v>37</v>
      </c>
      <c r="F3" s="12" t="n">
        <v>80</v>
      </c>
      <c r="G3" s="13" t="s">
        <v>38</v>
      </c>
      <c r="H3" s="10" t="s">
        <v>39</v>
      </c>
      <c r="I3" s="12" t="n">
        <v>133.41</v>
      </c>
      <c r="J3" s="13" t="s">
        <v>40</v>
      </c>
      <c r="K3" s="10" t="s">
        <v>41</v>
      </c>
      <c r="L3" s="12" t="n">
        <v>140.45</v>
      </c>
      <c r="M3" s="13" t="s">
        <v>42</v>
      </c>
      <c r="N3" s="12" t="n">
        <f aca="false">IF(COUNT(F3,I3,L3)=0,"",MIN(F3,I3,L3))</f>
        <v>80</v>
      </c>
      <c r="O3" s="12" t="n">
        <f aca="false">IF(COUNT(F3,I3,L3)=0,"",AVERAGE(F3,I3,L3))</f>
        <v>117.953333333333</v>
      </c>
      <c r="P3" s="12" t="n">
        <f aca="false">IF(COUNT(F3,I3,L3)=0,"",MEDIAN(F3,I3,L3))</f>
        <v>133.41</v>
      </c>
      <c r="Q3" s="12" t="n">
        <f aca="false">IF(COUNT(F3,I3,L3)=0,"",MAX(F3,I3,L3))</f>
        <v>140.45</v>
      </c>
      <c r="R3" s="12" t="n">
        <v>140.45</v>
      </c>
      <c r="S3" s="12" t="n">
        <f aca="false">IF(ISNUMBER(R3),ROUNDDOWN(R3*0.96,2),"—")</f>
        <v>134.83</v>
      </c>
      <c r="T3" s="14" t="n">
        <f aca="false">IF(COUNT(F3,I3,L3)=0,"Sem cotação",ROUND(P3,2))</f>
        <v>133.41</v>
      </c>
      <c r="U3" s="15" t="n">
        <f aca="false">IF(AND(ISNUMBER(R3),ISNUMBER(T3)),T3/R3-1,"—")</f>
        <v>-0.050124599501602</v>
      </c>
      <c r="V3" s="12" t="n">
        <f aca="false">IF(ISNUMBER(T3),D3*T3,0)</f>
        <v>4615986</v>
      </c>
    </row>
    <row r="4" customFormat="false" ht="15" hidden="false" customHeight="false" outlineLevel="0" collapsed="false">
      <c r="A4" s="16"/>
      <c r="B4" s="6" t="s">
        <v>43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7" t="n">
        <f aca="false">SUM(V3:V3)</f>
        <v>4615986</v>
      </c>
    </row>
  </sheetData>
  <mergeCells count="1">
    <mergeCell ref="A1:V1"/>
  </mergeCells>
  <hyperlinks>
    <hyperlink ref="G3" r:id="rId1" display="https://pncp.gov.br/pncp-api/v1/orgaos/71203715000190/compras/2026/1/arquivos/1"/>
    <hyperlink ref="J3" r:id="rId2" display="https://ciminas.mg.gov.br"/>
    <hyperlink ref="M3" r:id="rId3" display="https://icismep.mg.gov.br/wp-content/uploads/2026/02/03.-TSPS-JANEIRO-DE-2026-ATUALIZACAO-II-1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7" min="14" style="0" width="12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5"/>
    <col collapsed="false" customWidth="true" hidden="false" outlineLevel="0" max="21" min="21" style="0" width="13"/>
    <col collapsed="false" customWidth="true" hidden="false" outlineLevel="0" max="22" min="22" style="0" width="18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1.5" hidden="false" customHeight="true" outlineLevel="0" collapsed="false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9" t="s">
        <v>27</v>
      </c>
      <c r="P2" s="9" t="s">
        <v>28</v>
      </c>
      <c r="Q2" s="9" t="s">
        <v>29</v>
      </c>
      <c r="R2" s="9" t="s">
        <v>30</v>
      </c>
      <c r="S2" s="9" t="s">
        <v>31</v>
      </c>
      <c r="T2" s="9" t="s">
        <v>32</v>
      </c>
      <c r="U2" s="9" t="s">
        <v>33</v>
      </c>
      <c r="V2" s="9" t="s">
        <v>34</v>
      </c>
    </row>
    <row r="3" customFormat="false" ht="23.85" hidden="false" customHeight="false" outlineLevel="0" collapsed="false">
      <c r="A3" s="10" t="n">
        <v>1</v>
      </c>
      <c r="B3" s="10" t="s">
        <v>45</v>
      </c>
      <c r="C3" s="10" t="s">
        <v>46</v>
      </c>
      <c r="D3" s="11" t="n">
        <v>43440</v>
      </c>
      <c r="E3" s="10" t="s">
        <v>47</v>
      </c>
      <c r="F3" s="12" t="n">
        <v>50</v>
      </c>
      <c r="G3" s="13" t="s">
        <v>48</v>
      </c>
      <c r="H3" s="10" t="s">
        <v>49</v>
      </c>
      <c r="I3" s="12" t="n">
        <v>92.48</v>
      </c>
      <c r="J3" s="13" t="s">
        <v>50</v>
      </c>
      <c r="K3" s="10" t="s">
        <v>51</v>
      </c>
      <c r="L3" s="12" t="n">
        <v>100</v>
      </c>
      <c r="M3" s="13" t="s">
        <v>52</v>
      </c>
      <c r="N3" s="12" t="n">
        <f aca="false">IF(COUNT(F3,I3,L3)=0,"",MIN(F3,I3,L3))</f>
        <v>50</v>
      </c>
      <c r="O3" s="12" t="n">
        <f aca="false">IF(COUNT(F3,I3,L3)=0,"",AVERAGE(F3,I3,L3))</f>
        <v>80.8266666666667</v>
      </c>
      <c r="P3" s="12" t="n">
        <f aca="false">IF(COUNT(F3,I3,L3)=0,"",MEDIAN(F3,I3,L3))</f>
        <v>92.48</v>
      </c>
      <c r="Q3" s="12" t="n">
        <f aca="false">IF(COUNT(F3,I3,L3)=0,"",MAX(F3,I3,L3))</f>
        <v>100</v>
      </c>
      <c r="R3" s="12" t="n">
        <v>250</v>
      </c>
      <c r="S3" s="12" t="n">
        <f aca="false">IF(ISNUMBER(R3),ROUNDDOWN(R3*0.96,2),"—")</f>
        <v>240</v>
      </c>
      <c r="T3" s="14" t="n">
        <f aca="false">IF(COUNT(F3,I3,L3)=0,"Sem cotação",ROUND(P3,2))</f>
        <v>92.48</v>
      </c>
      <c r="U3" s="15" t="n">
        <f aca="false">IF(AND(ISNUMBER(R3),ISNUMBER(T3)),T3/R3-1,"—")</f>
        <v>-0.63008</v>
      </c>
      <c r="V3" s="12" t="n">
        <f aca="false">IF(ISNUMBER(T3),D3*T3,0)</f>
        <v>4017331.2</v>
      </c>
    </row>
    <row r="4" customFormat="false" ht="23.85" hidden="false" customHeight="false" outlineLevel="0" collapsed="false">
      <c r="A4" s="10" t="n">
        <v>2</v>
      </c>
      <c r="B4" s="10" t="s">
        <v>53</v>
      </c>
      <c r="C4" s="10" t="s">
        <v>46</v>
      </c>
      <c r="D4" s="11" t="n">
        <v>29865</v>
      </c>
      <c r="E4" s="10" t="s">
        <v>47</v>
      </c>
      <c r="F4" s="12" t="n">
        <v>50</v>
      </c>
      <c r="G4" s="13" t="s">
        <v>48</v>
      </c>
      <c r="H4" s="10" t="s">
        <v>49</v>
      </c>
      <c r="I4" s="12" t="n">
        <v>97.63</v>
      </c>
      <c r="J4" s="13" t="s">
        <v>50</v>
      </c>
      <c r="K4" s="10" t="s">
        <v>54</v>
      </c>
      <c r="L4" s="12" t="n">
        <v>115</v>
      </c>
      <c r="M4" s="13" t="s">
        <v>55</v>
      </c>
      <c r="N4" s="12" t="n">
        <f aca="false">IF(COUNT(F4,I4,L4)=0,"",MIN(F4,I4,L4))</f>
        <v>50</v>
      </c>
      <c r="O4" s="12" t="n">
        <f aca="false">IF(COUNT(F4,I4,L4)=0,"",AVERAGE(F4,I4,L4))</f>
        <v>87.5433333333333</v>
      </c>
      <c r="P4" s="12" t="n">
        <f aca="false">IF(COUNT(F4,I4,L4)=0,"",MEDIAN(F4,I4,L4))</f>
        <v>97.63</v>
      </c>
      <c r="Q4" s="12" t="n">
        <f aca="false">IF(COUNT(F4,I4,L4)=0,"",MAX(F4,I4,L4))</f>
        <v>115</v>
      </c>
      <c r="R4" s="12" t="n">
        <v>250</v>
      </c>
      <c r="S4" s="12" t="n">
        <f aca="false">IF(ISNUMBER(R4),ROUNDDOWN(R4*0.96,2),"—")</f>
        <v>240</v>
      </c>
      <c r="T4" s="14" t="n">
        <f aca="false">IF(COUNT(F4,I4,L4)=0,"Sem cotação",ROUND(P4,2))</f>
        <v>97.63</v>
      </c>
      <c r="U4" s="15" t="n">
        <f aca="false">IF(AND(ISNUMBER(R4),ISNUMBER(T4)),T4/R4-1,"—")</f>
        <v>-0.60948</v>
      </c>
      <c r="V4" s="12" t="n">
        <f aca="false">IF(ISNUMBER(T4),D4*T4,0)</f>
        <v>2915719.95</v>
      </c>
    </row>
    <row r="5" customFormat="false" ht="23.85" hidden="false" customHeight="false" outlineLevel="0" collapsed="false">
      <c r="A5" s="10" t="n">
        <v>3</v>
      </c>
      <c r="B5" s="10" t="s">
        <v>56</v>
      </c>
      <c r="C5" s="10" t="s">
        <v>46</v>
      </c>
      <c r="D5" s="11" t="n">
        <v>24435</v>
      </c>
      <c r="E5" s="10" t="s">
        <v>57</v>
      </c>
      <c r="F5" s="12" t="n">
        <v>75</v>
      </c>
      <c r="G5" s="13" t="s">
        <v>48</v>
      </c>
      <c r="H5" s="10" t="s">
        <v>58</v>
      </c>
      <c r="I5" s="12" t="n">
        <v>100</v>
      </c>
      <c r="J5" s="13" t="s">
        <v>59</v>
      </c>
      <c r="K5" s="10" t="s">
        <v>49</v>
      </c>
      <c r="L5" s="12" t="n">
        <v>125.24</v>
      </c>
      <c r="M5" s="13" t="s">
        <v>50</v>
      </c>
      <c r="N5" s="12" t="n">
        <f aca="false">IF(COUNT(F5,I5,L5)=0,"",MIN(F5,I5,L5))</f>
        <v>75</v>
      </c>
      <c r="O5" s="12" t="n">
        <f aca="false">IF(COUNT(F5,I5,L5)=0,"",AVERAGE(F5,I5,L5))</f>
        <v>100.08</v>
      </c>
      <c r="P5" s="12" t="n">
        <f aca="false">IF(COUNT(F5,I5,L5)=0,"",MEDIAN(F5,I5,L5))</f>
        <v>100</v>
      </c>
      <c r="Q5" s="12" t="n">
        <f aca="false">IF(COUNT(F5,I5,L5)=0,"",MAX(F5,I5,L5))</f>
        <v>125.24</v>
      </c>
      <c r="R5" s="12" t="n">
        <v>250</v>
      </c>
      <c r="S5" s="12" t="n">
        <f aca="false">IF(ISNUMBER(R5),ROUNDDOWN(R5*0.96,2),"—")</f>
        <v>240</v>
      </c>
      <c r="T5" s="14" t="n">
        <f aca="false">IF(COUNT(F5,I5,L5)=0,"Sem cotação",ROUND(P5,2))</f>
        <v>100</v>
      </c>
      <c r="U5" s="15" t="n">
        <f aca="false">IF(AND(ISNUMBER(R5),ISNUMBER(T5)),T5/R5-1,"—")</f>
        <v>-0.6</v>
      </c>
      <c r="V5" s="12" t="n">
        <f aca="false">IF(ISNUMBER(T5),D5*T5,0)</f>
        <v>2443500</v>
      </c>
    </row>
    <row r="6" customFormat="false" ht="23.85" hidden="false" customHeight="false" outlineLevel="0" collapsed="false">
      <c r="A6" s="10" t="n">
        <v>4</v>
      </c>
      <c r="B6" s="10" t="s">
        <v>60</v>
      </c>
      <c r="C6" s="10" t="s">
        <v>46</v>
      </c>
      <c r="D6" s="11" t="n">
        <v>21720</v>
      </c>
      <c r="E6" s="10" t="s">
        <v>47</v>
      </c>
      <c r="F6" s="12" t="n">
        <v>50</v>
      </c>
      <c r="G6" s="13" t="s">
        <v>48</v>
      </c>
      <c r="H6" s="10" t="s">
        <v>49</v>
      </c>
      <c r="I6" s="12" t="n">
        <v>114.97</v>
      </c>
      <c r="J6" s="13" t="s">
        <v>50</v>
      </c>
      <c r="K6" s="10" t="s">
        <v>54</v>
      </c>
      <c r="L6" s="12" t="n">
        <v>115</v>
      </c>
      <c r="M6" s="13" t="s">
        <v>55</v>
      </c>
      <c r="N6" s="12" t="n">
        <f aca="false">IF(COUNT(F6,I6,L6)=0,"",MIN(F6,I6,L6))</f>
        <v>50</v>
      </c>
      <c r="O6" s="12" t="n">
        <f aca="false">IF(COUNT(F6,I6,L6)=0,"",AVERAGE(F6,I6,L6))</f>
        <v>93.3233333333333</v>
      </c>
      <c r="P6" s="12" t="n">
        <f aca="false">IF(COUNT(F6,I6,L6)=0,"",MEDIAN(F6,I6,L6))</f>
        <v>114.97</v>
      </c>
      <c r="Q6" s="12" t="n">
        <f aca="false">IF(COUNT(F6,I6,L6)=0,"",MAX(F6,I6,L6))</f>
        <v>115</v>
      </c>
      <c r="R6" s="12" t="n">
        <v>250</v>
      </c>
      <c r="S6" s="12" t="n">
        <f aca="false">IF(ISNUMBER(R6),ROUNDDOWN(R6*0.96,2),"—")</f>
        <v>240</v>
      </c>
      <c r="T6" s="14" t="n">
        <f aca="false">IF(COUNT(F6,I6,L6)=0,"Sem cotação",ROUND(P6,2))</f>
        <v>114.97</v>
      </c>
      <c r="U6" s="15" t="n">
        <f aca="false">IF(AND(ISNUMBER(R6),ISNUMBER(T6)),T6/R6-1,"—")</f>
        <v>-0.54012</v>
      </c>
      <c r="V6" s="12" t="n">
        <f aca="false">IF(ISNUMBER(T6),D6*T6,0)</f>
        <v>2497148.4</v>
      </c>
    </row>
    <row r="7" customFormat="false" ht="23.85" hidden="false" customHeight="false" outlineLevel="0" collapsed="false">
      <c r="A7" s="10" t="n">
        <v>5</v>
      </c>
      <c r="B7" s="10" t="s">
        <v>61</v>
      </c>
      <c r="C7" s="10" t="s">
        <v>46</v>
      </c>
      <c r="D7" s="11" t="n">
        <v>21720</v>
      </c>
      <c r="E7" s="10" t="s">
        <v>47</v>
      </c>
      <c r="F7" s="12" t="n">
        <v>50</v>
      </c>
      <c r="G7" s="13" t="s">
        <v>48</v>
      </c>
      <c r="H7" s="10" t="s">
        <v>49</v>
      </c>
      <c r="I7" s="12" t="n">
        <v>96.5</v>
      </c>
      <c r="J7" s="13" t="s">
        <v>50</v>
      </c>
      <c r="K7" s="10" t="s">
        <v>51</v>
      </c>
      <c r="L7" s="12" t="n">
        <v>161.67</v>
      </c>
      <c r="M7" s="13" t="s">
        <v>52</v>
      </c>
      <c r="N7" s="12" t="n">
        <f aca="false">IF(COUNT(F7,I7,L7)=0,"",MIN(F7,I7,L7))</f>
        <v>50</v>
      </c>
      <c r="O7" s="12" t="n">
        <f aca="false">IF(COUNT(F7,I7,L7)=0,"",AVERAGE(F7,I7,L7))</f>
        <v>102.723333333333</v>
      </c>
      <c r="P7" s="12" t="n">
        <f aca="false">IF(COUNT(F7,I7,L7)=0,"",MEDIAN(F7,I7,L7))</f>
        <v>96.5</v>
      </c>
      <c r="Q7" s="12" t="n">
        <f aca="false">IF(COUNT(F7,I7,L7)=0,"",MAX(F7,I7,L7))</f>
        <v>161.67</v>
      </c>
      <c r="R7" s="12" t="n">
        <v>250</v>
      </c>
      <c r="S7" s="12" t="n">
        <f aca="false">IF(ISNUMBER(R7),ROUNDDOWN(R7*0.96,2),"—")</f>
        <v>240</v>
      </c>
      <c r="T7" s="14" t="n">
        <f aca="false">IF(COUNT(F7,I7,L7)=0,"Sem cotação",ROUND(P7,2))</f>
        <v>96.5</v>
      </c>
      <c r="U7" s="15" t="n">
        <f aca="false">IF(AND(ISNUMBER(R7),ISNUMBER(T7)),T7/R7-1,"—")</f>
        <v>-0.614</v>
      </c>
      <c r="V7" s="12" t="n">
        <f aca="false">IF(ISNUMBER(T7),D7*T7,0)</f>
        <v>2095980</v>
      </c>
    </row>
    <row r="8" customFormat="false" ht="23.85" hidden="false" customHeight="false" outlineLevel="0" collapsed="false">
      <c r="A8" s="10" t="n">
        <v>6</v>
      </c>
      <c r="B8" s="10" t="s">
        <v>62</v>
      </c>
      <c r="C8" s="10" t="s">
        <v>46</v>
      </c>
      <c r="D8" s="11" t="n">
        <v>14480</v>
      </c>
      <c r="E8" s="10" t="s">
        <v>47</v>
      </c>
      <c r="F8" s="12" t="n">
        <v>50</v>
      </c>
      <c r="G8" s="13" t="s">
        <v>48</v>
      </c>
      <c r="H8" s="10" t="s">
        <v>49</v>
      </c>
      <c r="I8" s="12" t="n">
        <v>103.2</v>
      </c>
      <c r="J8" s="13" t="s">
        <v>50</v>
      </c>
      <c r="K8" s="10" t="s">
        <v>54</v>
      </c>
      <c r="L8" s="12" t="n">
        <v>115</v>
      </c>
      <c r="M8" s="13" t="s">
        <v>55</v>
      </c>
      <c r="N8" s="12" t="n">
        <f aca="false">IF(COUNT(F8,I8,L8)=0,"",MIN(F8,I8,L8))</f>
        <v>50</v>
      </c>
      <c r="O8" s="12" t="n">
        <f aca="false">IF(COUNT(F8,I8,L8)=0,"",AVERAGE(F8,I8,L8))</f>
        <v>89.4</v>
      </c>
      <c r="P8" s="12" t="n">
        <f aca="false">IF(COUNT(F8,I8,L8)=0,"",MEDIAN(F8,I8,L8))</f>
        <v>103.2</v>
      </c>
      <c r="Q8" s="12" t="n">
        <f aca="false">IF(COUNT(F8,I8,L8)=0,"",MAX(F8,I8,L8))</f>
        <v>115</v>
      </c>
      <c r="R8" s="12" t="n">
        <v>250</v>
      </c>
      <c r="S8" s="12" t="n">
        <f aca="false">IF(ISNUMBER(R8),ROUNDDOWN(R8*0.96,2),"—")</f>
        <v>240</v>
      </c>
      <c r="T8" s="14" t="n">
        <f aca="false">IF(COUNT(F8,I8,L8)=0,"Sem cotação",ROUND(P8,2))</f>
        <v>103.2</v>
      </c>
      <c r="U8" s="15" t="n">
        <f aca="false">IF(AND(ISNUMBER(R8),ISNUMBER(T8)),T8/R8-1,"—")</f>
        <v>-0.5872</v>
      </c>
      <c r="V8" s="12" t="n">
        <f aca="false">IF(ISNUMBER(T8),D8*T8,0)</f>
        <v>1494336</v>
      </c>
    </row>
    <row r="9" customFormat="false" ht="23.85" hidden="false" customHeight="false" outlineLevel="0" collapsed="false">
      <c r="A9" s="10" t="n">
        <v>7</v>
      </c>
      <c r="B9" s="10" t="s">
        <v>63</v>
      </c>
      <c r="C9" s="10" t="s">
        <v>46</v>
      </c>
      <c r="D9" s="11" t="n">
        <v>13575</v>
      </c>
      <c r="E9" s="10" t="s">
        <v>47</v>
      </c>
      <c r="F9" s="12" t="n">
        <v>50</v>
      </c>
      <c r="G9" s="13" t="s">
        <v>48</v>
      </c>
      <c r="H9" s="10" t="s">
        <v>49</v>
      </c>
      <c r="I9" s="12" t="n">
        <v>101.56</v>
      </c>
      <c r="J9" s="13" t="s">
        <v>50</v>
      </c>
      <c r="K9" s="10" t="s">
        <v>54</v>
      </c>
      <c r="L9" s="12" t="n">
        <v>115</v>
      </c>
      <c r="M9" s="13" t="s">
        <v>55</v>
      </c>
      <c r="N9" s="12" t="n">
        <f aca="false">IF(COUNT(F9,I9,L9)=0,"",MIN(F9,I9,L9))</f>
        <v>50</v>
      </c>
      <c r="O9" s="12" t="n">
        <f aca="false">IF(COUNT(F9,I9,L9)=0,"",AVERAGE(F9,I9,L9))</f>
        <v>88.8533333333333</v>
      </c>
      <c r="P9" s="12" t="n">
        <f aca="false">IF(COUNT(F9,I9,L9)=0,"",MEDIAN(F9,I9,L9))</f>
        <v>101.56</v>
      </c>
      <c r="Q9" s="12" t="n">
        <f aca="false">IF(COUNT(F9,I9,L9)=0,"",MAX(F9,I9,L9))</f>
        <v>115</v>
      </c>
      <c r="R9" s="12" t="n">
        <v>250</v>
      </c>
      <c r="S9" s="12" t="n">
        <f aca="false">IF(ISNUMBER(R9),ROUNDDOWN(R9*0.96,2),"—")</f>
        <v>240</v>
      </c>
      <c r="T9" s="14" t="n">
        <f aca="false">IF(COUNT(F9,I9,L9)=0,"Sem cotação",ROUND(P9,2))</f>
        <v>101.56</v>
      </c>
      <c r="U9" s="15" t="n">
        <f aca="false">IF(AND(ISNUMBER(R9),ISNUMBER(T9)),T9/R9-1,"—")</f>
        <v>-0.59376</v>
      </c>
      <c r="V9" s="12" t="n">
        <f aca="false">IF(ISNUMBER(T9),D9*T9,0)</f>
        <v>1378677</v>
      </c>
    </row>
    <row r="10" customFormat="false" ht="23.85" hidden="false" customHeight="false" outlineLevel="0" collapsed="false">
      <c r="A10" s="10" t="n">
        <v>8</v>
      </c>
      <c r="B10" s="10" t="s">
        <v>64</v>
      </c>
      <c r="C10" s="10" t="s">
        <v>46</v>
      </c>
      <c r="D10" s="11" t="n">
        <v>12670</v>
      </c>
      <c r="E10" s="10" t="s">
        <v>47</v>
      </c>
      <c r="F10" s="12" t="n">
        <v>50</v>
      </c>
      <c r="G10" s="13" t="s">
        <v>48</v>
      </c>
      <c r="H10" s="10" t="s">
        <v>49</v>
      </c>
      <c r="I10" s="12" t="n">
        <v>116.67</v>
      </c>
      <c r="J10" s="13" t="s">
        <v>50</v>
      </c>
      <c r="K10" s="10" t="s">
        <v>54</v>
      </c>
      <c r="L10" s="12" t="n">
        <v>115</v>
      </c>
      <c r="M10" s="13" t="s">
        <v>55</v>
      </c>
      <c r="N10" s="12" t="n">
        <f aca="false">IF(COUNT(F10,I10,L10)=0,"",MIN(F10,I10,L10))</f>
        <v>50</v>
      </c>
      <c r="O10" s="12" t="n">
        <f aca="false">IF(COUNT(F10,I10,L10)=0,"",AVERAGE(F10,I10,L10))</f>
        <v>93.89</v>
      </c>
      <c r="P10" s="12" t="n">
        <f aca="false">IF(COUNT(F10,I10,L10)=0,"",MEDIAN(F10,I10,L10))</f>
        <v>115</v>
      </c>
      <c r="Q10" s="12" t="n">
        <f aca="false">IF(COUNT(F10,I10,L10)=0,"",MAX(F10,I10,L10))</f>
        <v>116.67</v>
      </c>
      <c r="R10" s="12" t="n">
        <v>250</v>
      </c>
      <c r="S10" s="12" t="n">
        <f aca="false">IF(ISNUMBER(R10),ROUNDDOWN(R10*0.96,2),"—")</f>
        <v>240</v>
      </c>
      <c r="T10" s="14" t="n">
        <f aca="false">IF(COUNT(F10,I10,L10)=0,"Sem cotação",ROUND(P10,2))</f>
        <v>115</v>
      </c>
      <c r="U10" s="15" t="n">
        <f aca="false">IF(AND(ISNUMBER(R10),ISNUMBER(T10)),T10/R10-1,"—")</f>
        <v>-0.54</v>
      </c>
      <c r="V10" s="12" t="n">
        <f aca="false">IF(ISNUMBER(T10),D10*T10,0)</f>
        <v>1457050</v>
      </c>
    </row>
    <row r="11" customFormat="false" ht="46.25" hidden="false" customHeight="false" outlineLevel="0" collapsed="false">
      <c r="A11" s="10" t="n">
        <v>9</v>
      </c>
      <c r="B11" s="10" t="s">
        <v>65</v>
      </c>
      <c r="C11" s="10" t="s">
        <v>46</v>
      </c>
      <c r="D11" s="11" t="n">
        <v>11765</v>
      </c>
      <c r="E11" s="10" t="s">
        <v>47</v>
      </c>
      <c r="F11" s="12" t="n">
        <v>50</v>
      </c>
      <c r="G11" s="13" t="s">
        <v>48</v>
      </c>
      <c r="H11" s="10" t="s">
        <v>66</v>
      </c>
      <c r="I11" s="12" t="n">
        <v>90</v>
      </c>
      <c r="J11" s="13" t="s">
        <v>50</v>
      </c>
      <c r="K11" s="10" t="s">
        <v>54</v>
      </c>
      <c r="L11" s="12" t="n">
        <v>115</v>
      </c>
      <c r="M11" s="13" t="s">
        <v>55</v>
      </c>
      <c r="N11" s="12" t="n">
        <f aca="false">IF(COUNT(F11,I11,L11)=0,"",MIN(F11,I11,L11))</f>
        <v>50</v>
      </c>
      <c r="O11" s="12" t="n">
        <f aca="false">IF(COUNT(F11,I11,L11)=0,"",AVERAGE(F11,I11,L11))</f>
        <v>85</v>
      </c>
      <c r="P11" s="12" t="n">
        <f aca="false">IF(COUNT(F11,I11,L11)=0,"",MEDIAN(F11,I11,L11))</f>
        <v>90</v>
      </c>
      <c r="Q11" s="12" t="n">
        <f aca="false">IF(COUNT(F11,I11,L11)=0,"",MAX(F11,I11,L11))</f>
        <v>115</v>
      </c>
      <c r="R11" s="12" t="n">
        <v>250</v>
      </c>
      <c r="S11" s="12" t="n">
        <f aca="false">IF(ISNUMBER(R11),ROUNDDOWN(R11*0.96,2),"—")</f>
        <v>240</v>
      </c>
      <c r="T11" s="14" t="n">
        <f aca="false">IF(COUNT(F11,I11,L11)=0,"Sem cotação",ROUND(P11,2))</f>
        <v>90</v>
      </c>
      <c r="U11" s="15" t="n">
        <f aca="false">IF(AND(ISNUMBER(R11),ISNUMBER(T11)),T11/R11-1,"—")</f>
        <v>-0.64</v>
      </c>
      <c r="V11" s="12" t="n">
        <f aca="false">IF(ISNUMBER(T11),D11*T11,0)</f>
        <v>1058850</v>
      </c>
    </row>
    <row r="12" customFormat="false" ht="23.85" hidden="false" customHeight="false" outlineLevel="0" collapsed="false">
      <c r="A12" s="10" t="n">
        <v>10</v>
      </c>
      <c r="B12" s="10" t="s">
        <v>67</v>
      </c>
      <c r="C12" s="10" t="s">
        <v>46</v>
      </c>
      <c r="D12" s="11" t="n">
        <v>10860</v>
      </c>
      <c r="E12" s="10" t="s">
        <v>47</v>
      </c>
      <c r="F12" s="12" t="n">
        <v>50</v>
      </c>
      <c r="G12" s="13" t="s">
        <v>48</v>
      </c>
      <c r="H12" s="10" t="s">
        <v>68</v>
      </c>
      <c r="I12" s="12" t="n">
        <v>105.87</v>
      </c>
      <c r="J12" s="13" t="s">
        <v>69</v>
      </c>
      <c r="K12" s="10" t="s">
        <v>54</v>
      </c>
      <c r="L12" s="12" t="n">
        <v>115</v>
      </c>
      <c r="M12" s="13" t="s">
        <v>55</v>
      </c>
      <c r="N12" s="12" t="n">
        <f aca="false">IF(COUNT(F12,I12,L12)=0,"",MIN(F12,I12,L12))</f>
        <v>50</v>
      </c>
      <c r="O12" s="12" t="n">
        <f aca="false">IF(COUNT(F12,I12,L12)=0,"",AVERAGE(F12,I12,L12))</f>
        <v>90.29</v>
      </c>
      <c r="P12" s="12" t="n">
        <f aca="false">IF(COUNT(F12,I12,L12)=0,"",MEDIAN(F12,I12,L12))</f>
        <v>105.87</v>
      </c>
      <c r="Q12" s="12" t="n">
        <f aca="false">IF(COUNT(F12,I12,L12)=0,"",MAX(F12,I12,L12))</f>
        <v>115</v>
      </c>
      <c r="R12" s="12" t="n">
        <v>250</v>
      </c>
      <c r="S12" s="12" t="n">
        <f aca="false">IF(ISNUMBER(R12),ROUNDDOWN(R12*0.96,2),"—")</f>
        <v>240</v>
      </c>
      <c r="T12" s="14" t="n">
        <f aca="false">IF(COUNT(F12,I12,L12)=0,"Sem cotação",ROUND(P12,2))</f>
        <v>105.87</v>
      </c>
      <c r="U12" s="15" t="n">
        <f aca="false">IF(AND(ISNUMBER(R12),ISNUMBER(T12)),T12/R12-1,"—")</f>
        <v>-0.57652</v>
      </c>
      <c r="V12" s="12" t="n">
        <f aca="false">IF(ISNUMBER(T12),D12*T12,0)</f>
        <v>1149748.2</v>
      </c>
    </row>
    <row r="13" customFormat="false" ht="23.85" hidden="false" customHeight="false" outlineLevel="0" collapsed="false">
      <c r="A13" s="10" t="n">
        <v>11</v>
      </c>
      <c r="B13" s="10" t="s">
        <v>70</v>
      </c>
      <c r="C13" s="10" t="s">
        <v>46</v>
      </c>
      <c r="D13" s="11" t="n">
        <v>9955</v>
      </c>
      <c r="E13" s="10" t="s">
        <v>47</v>
      </c>
      <c r="F13" s="12" t="n">
        <v>50</v>
      </c>
      <c r="G13" s="13" t="s">
        <v>48</v>
      </c>
      <c r="H13" s="10" t="s">
        <v>49</v>
      </c>
      <c r="I13" s="12" t="n">
        <v>106.1</v>
      </c>
      <c r="J13" s="13" t="s">
        <v>50</v>
      </c>
      <c r="K13" s="10" t="s">
        <v>54</v>
      </c>
      <c r="L13" s="12" t="n">
        <v>115</v>
      </c>
      <c r="M13" s="13" t="s">
        <v>55</v>
      </c>
      <c r="N13" s="12" t="n">
        <f aca="false">IF(COUNT(F13,I13,L13)=0,"",MIN(F13,I13,L13))</f>
        <v>50</v>
      </c>
      <c r="O13" s="12" t="n">
        <f aca="false">IF(COUNT(F13,I13,L13)=0,"",AVERAGE(F13,I13,L13))</f>
        <v>90.3666666666667</v>
      </c>
      <c r="P13" s="12" t="n">
        <f aca="false">IF(COUNT(F13,I13,L13)=0,"",MEDIAN(F13,I13,L13))</f>
        <v>106.1</v>
      </c>
      <c r="Q13" s="12" t="n">
        <f aca="false">IF(COUNT(F13,I13,L13)=0,"",MAX(F13,I13,L13))</f>
        <v>115</v>
      </c>
      <c r="R13" s="12" t="n">
        <v>250</v>
      </c>
      <c r="S13" s="12" t="n">
        <f aca="false">IF(ISNUMBER(R13),ROUNDDOWN(R13*0.96,2),"—")</f>
        <v>240</v>
      </c>
      <c r="T13" s="14" t="n">
        <f aca="false">IF(COUNT(F13,I13,L13)=0,"Sem cotação",ROUND(P13,2))</f>
        <v>106.1</v>
      </c>
      <c r="U13" s="15" t="n">
        <f aca="false">IF(AND(ISNUMBER(R13),ISNUMBER(T13)),T13/R13-1,"—")</f>
        <v>-0.5756</v>
      </c>
      <c r="V13" s="12" t="n">
        <f aca="false">IF(ISNUMBER(T13),D13*T13,0)</f>
        <v>1056225.5</v>
      </c>
    </row>
    <row r="14" customFormat="false" ht="23.85" hidden="false" customHeight="false" outlineLevel="0" collapsed="false">
      <c r="A14" s="10" t="n">
        <v>12</v>
      </c>
      <c r="B14" s="10" t="s">
        <v>71</v>
      </c>
      <c r="C14" s="10" t="s">
        <v>46</v>
      </c>
      <c r="D14" s="11" t="n">
        <v>3620</v>
      </c>
      <c r="E14" s="10" t="s">
        <v>47</v>
      </c>
      <c r="F14" s="12" t="n">
        <v>50</v>
      </c>
      <c r="G14" s="13" t="s">
        <v>48</v>
      </c>
      <c r="H14" s="10" t="s">
        <v>49</v>
      </c>
      <c r="I14" s="12" t="n">
        <v>97.63</v>
      </c>
      <c r="J14" s="13" t="s">
        <v>50</v>
      </c>
      <c r="K14" s="10" t="s">
        <v>54</v>
      </c>
      <c r="L14" s="12" t="n">
        <v>115</v>
      </c>
      <c r="M14" s="13" t="s">
        <v>55</v>
      </c>
      <c r="N14" s="12" t="n">
        <f aca="false">IF(COUNT(F14,I14,L14)=0,"",MIN(F14,I14,L14))</f>
        <v>50</v>
      </c>
      <c r="O14" s="12" t="n">
        <f aca="false">IF(COUNT(F14,I14,L14)=0,"",AVERAGE(F14,I14,L14))</f>
        <v>87.5433333333333</v>
      </c>
      <c r="P14" s="12" t="n">
        <f aca="false">IF(COUNT(F14,I14,L14)=0,"",MEDIAN(F14,I14,L14))</f>
        <v>97.63</v>
      </c>
      <c r="Q14" s="12" t="n">
        <f aca="false">IF(COUNT(F14,I14,L14)=0,"",MAX(F14,I14,L14))</f>
        <v>115</v>
      </c>
      <c r="R14" s="12" t="n">
        <v>250</v>
      </c>
      <c r="S14" s="12" t="n">
        <f aca="false">IF(ISNUMBER(R14),ROUNDDOWN(R14*0.96,2),"—")</f>
        <v>240</v>
      </c>
      <c r="T14" s="14" t="n">
        <f aca="false">IF(COUNT(F14,I14,L14)=0,"Sem cotação",ROUND(P14,2))</f>
        <v>97.63</v>
      </c>
      <c r="U14" s="15" t="n">
        <f aca="false">IF(AND(ISNUMBER(R14),ISNUMBER(T14)),T14/R14-1,"—")</f>
        <v>-0.60948</v>
      </c>
      <c r="V14" s="12" t="n">
        <f aca="false">IF(ISNUMBER(T14),D14*T14,0)</f>
        <v>353420.6</v>
      </c>
    </row>
    <row r="15" customFormat="false" ht="46.25" hidden="false" customHeight="false" outlineLevel="0" collapsed="false">
      <c r="A15" s="10" t="n">
        <v>13</v>
      </c>
      <c r="B15" s="10" t="s">
        <v>72</v>
      </c>
      <c r="C15" s="10" t="s">
        <v>46</v>
      </c>
      <c r="D15" s="11" t="n">
        <v>2715</v>
      </c>
      <c r="E15" s="10" t="s">
        <v>47</v>
      </c>
      <c r="F15" s="12" t="n">
        <v>50</v>
      </c>
      <c r="G15" s="13" t="s">
        <v>48</v>
      </c>
      <c r="H15" s="10" t="s">
        <v>66</v>
      </c>
      <c r="I15" s="12" t="n">
        <v>90</v>
      </c>
      <c r="J15" s="13" t="s">
        <v>50</v>
      </c>
      <c r="K15" s="10" t="s">
        <v>54</v>
      </c>
      <c r="L15" s="12" t="n">
        <v>115</v>
      </c>
      <c r="M15" s="13" t="s">
        <v>55</v>
      </c>
      <c r="N15" s="12" t="n">
        <f aca="false">IF(COUNT(F15,I15,L15)=0,"",MIN(F15,I15,L15))</f>
        <v>50</v>
      </c>
      <c r="O15" s="12" t="n">
        <f aca="false">IF(COUNT(F15,I15,L15)=0,"",AVERAGE(F15,I15,L15))</f>
        <v>85</v>
      </c>
      <c r="P15" s="12" t="n">
        <f aca="false">IF(COUNT(F15,I15,L15)=0,"",MEDIAN(F15,I15,L15))</f>
        <v>90</v>
      </c>
      <c r="Q15" s="12" t="n">
        <f aca="false">IF(COUNT(F15,I15,L15)=0,"",MAX(F15,I15,L15))</f>
        <v>115</v>
      </c>
      <c r="R15" s="12" t="n">
        <v>250</v>
      </c>
      <c r="S15" s="12" t="n">
        <f aca="false">IF(ISNUMBER(R15),ROUNDDOWN(R15*0.96,2),"—")</f>
        <v>240</v>
      </c>
      <c r="T15" s="14" t="n">
        <f aca="false">IF(COUNT(F15,I15,L15)=0,"Sem cotação",ROUND(P15,2))</f>
        <v>90</v>
      </c>
      <c r="U15" s="15" t="n">
        <f aca="false">IF(AND(ISNUMBER(R15),ISNUMBER(T15)),T15/R15-1,"—")</f>
        <v>-0.64</v>
      </c>
      <c r="V15" s="12" t="n">
        <f aca="false">IF(ISNUMBER(T15),D15*T15,0)</f>
        <v>244350</v>
      </c>
    </row>
    <row r="16" customFormat="false" ht="23.85" hidden="false" customHeight="false" outlineLevel="0" collapsed="false">
      <c r="A16" s="10" t="n">
        <v>14</v>
      </c>
      <c r="B16" s="10" t="s">
        <v>73</v>
      </c>
      <c r="C16" s="10" t="s">
        <v>46</v>
      </c>
      <c r="D16" s="11" t="n">
        <v>5430</v>
      </c>
      <c r="E16" s="10" t="s">
        <v>47</v>
      </c>
      <c r="F16" s="12" t="n">
        <v>50</v>
      </c>
      <c r="G16" s="13" t="s">
        <v>48</v>
      </c>
      <c r="H16" s="10" t="s">
        <v>49</v>
      </c>
      <c r="I16" s="12" t="n">
        <v>91.96</v>
      </c>
      <c r="J16" s="13" t="s">
        <v>50</v>
      </c>
      <c r="K16" s="10" t="s">
        <v>54</v>
      </c>
      <c r="L16" s="12" t="n">
        <v>115</v>
      </c>
      <c r="M16" s="13" t="s">
        <v>55</v>
      </c>
      <c r="N16" s="12" t="n">
        <f aca="false">IF(COUNT(F16,I16,L16)=0,"",MIN(F16,I16,L16))</f>
        <v>50</v>
      </c>
      <c r="O16" s="12" t="n">
        <f aca="false">IF(COUNT(F16,I16,L16)=0,"",AVERAGE(F16,I16,L16))</f>
        <v>85.6533333333333</v>
      </c>
      <c r="P16" s="12" t="n">
        <f aca="false">IF(COUNT(F16,I16,L16)=0,"",MEDIAN(F16,I16,L16))</f>
        <v>91.96</v>
      </c>
      <c r="Q16" s="12" t="n">
        <f aca="false">IF(COUNT(F16,I16,L16)=0,"",MAX(F16,I16,L16))</f>
        <v>115</v>
      </c>
      <c r="R16" s="12" t="n">
        <v>250</v>
      </c>
      <c r="S16" s="12" t="n">
        <f aca="false">IF(ISNUMBER(R16),ROUNDDOWN(R16*0.96,2),"—")</f>
        <v>240</v>
      </c>
      <c r="T16" s="14" t="n">
        <f aca="false">IF(COUNT(F16,I16,L16)=0,"Sem cotação",ROUND(P16,2))</f>
        <v>91.96</v>
      </c>
      <c r="U16" s="15" t="n">
        <f aca="false">IF(AND(ISNUMBER(R16),ISNUMBER(T16)),T16/R16-1,"—")</f>
        <v>-0.63216</v>
      </c>
      <c r="V16" s="12" t="n">
        <f aca="false">IF(ISNUMBER(T16),D16*T16,0)</f>
        <v>499342.8</v>
      </c>
    </row>
    <row r="17" customFormat="false" ht="23.85" hidden="false" customHeight="false" outlineLevel="0" collapsed="false">
      <c r="A17" s="10" t="n">
        <v>15</v>
      </c>
      <c r="B17" s="10" t="s">
        <v>74</v>
      </c>
      <c r="C17" s="10" t="s">
        <v>46</v>
      </c>
      <c r="D17" s="11" t="n">
        <v>2172</v>
      </c>
      <c r="E17" s="10" t="s">
        <v>47</v>
      </c>
      <c r="F17" s="12" t="n">
        <v>50</v>
      </c>
      <c r="G17" s="13" t="s">
        <v>48</v>
      </c>
      <c r="H17" s="10" t="s">
        <v>49</v>
      </c>
      <c r="I17" s="12" t="n">
        <v>95.2</v>
      </c>
      <c r="J17" s="13" t="s">
        <v>50</v>
      </c>
      <c r="K17" s="10" t="s">
        <v>51</v>
      </c>
      <c r="L17" s="12" t="n">
        <v>161.67</v>
      </c>
      <c r="M17" s="13" t="s">
        <v>52</v>
      </c>
      <c r="N17" s="12" t="n">
        <f aca="false">IF(COUNT(F17,I17,L17)=0,"",MIN(F17,I17,L17))</f>
        <v>50</v>
      </c>
      <c r="O17" s="12" t="n">
        <f aca="false">IF(COUNT(F17,I17,L17)=0,"",AVERAGE(F17,I17,L17))</f>
        <v>102.29</v>
      </c>
      <c r="P17" s="12" t="n">
        <f aca="false">IF(COUNT(F17,I17,L17)=0,"",MEDIAN(F17,I17,L17))</f>
        <v>95.2</v>
      </c>
      <c r="Q17" s="12" t="n">
        <f aca="false">IF(COUNT(F17,I17,L17)=0,"",MAX(F17,I17,L17))</f>
        <v>161.67</v>
      </c>
      <c r="R17" s="12" t="n">
        <v>250</v>
      </c>
      <c r="S17" s="12" t="n">
        <f aca="false">IF(ISNUMBER(R17),ROUNDDOWN(R17*0.96,2),"—")</f>
        <v>240</v>
      </c>
      <c r="T17" s="14" t="n">
        <f aca="false">IF(COUNT(F17,I17,L17)=0,"Sem cotação",ROUND(P17,2))</f>
        <v>95.2</v>
      </c>
      <c r="U17" s="15" t="n">
        <f aca="false">IF(AND(ISNUMBER(R17),ISNUMBER(T17)),T17/R17-1,"—")</f>
        <v>-0.6192</v>
      </c>
      <c r="V17" s="12" t="n">
        <f aca="false">IF(ISNUMBER(T17),D17*T17,0)</f>
        <v>206774.4</v>
      </c>
    </row>
    <row r="18" customFormat="false" ht="15" hidden="false" customHeight="false" outlineLevel="0" collapsed="false">
      <c r="A18" s="16"/>
      <c r="B18" s="6" t="s">
        <v>43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7" t="n">
        <f aca="false">SUM(V3:V17)</f>
        <v>22868454.05</v>
      </c>
    </row>
  </sheetData>
  <mergeCells count="1">
    <mergeCell ref="A1:V1"/>
  </mergeCells>
  <hyperlinks>
    <hyperlink ref="G3" r:id="rId1" display="https://saude.es.gov.br/Media/sesa/Credenciamento/EDITAL%20SESA-SRSV-NRA%20001-26.pdf"/>
    <hyperlink ref="J3" r:id="rId2" display="https://www.cisame.mg.gov.br/compliance/tabela-de-precos-e-servicos/"/>
    <hyperlink ref="M3" r:id="rId3" display="https://www.procede.api.br/publica/documentos/PRYXAMTCDSCNU-20260528-145706--!--CREDENCIAMENTO_MEDICOS_EDITAL_2026.pdf"/>
    <hyperlink ref="G4" r:id="rId4" display="https://saude.es.gov.br/Media/sesa/Credenciamento/EDITAL%20SESA-SRSV-NRA%20001-26.pdf"/>
    <hyperlink ref="J4" r:id="rId5" display="https://www.cisame.mg.gov.br/compliance/tabela-de-precos-e-servicos/"/>
    <hyperlink ref="M4" r:id="rId6" display="https://www.treslagoas.ms.gov.br/prefeitura-de-tres-lagoas-amplia-acesso-a-consultas-especializadas-com-novo-credenciamento-na-saude/"/>
    <hyperlink ref="G5" r:id="rId7" display="https://saude.es.gov.br/Media/sesa/Credenciamento/EDITAL%20SESA-SRSV-NRA%20001-26.pdf"/>
    <hyperlink ref="J5" r:id="rId8" display="https://cisamusep.org.br/uploads/pagina/arquivos/Tabela-Cisamusep-1206.pdf"/>
    <hyperlink ref="M5" r:id="rId9" display="https://www.cisame.mg.gov.br/compliance/tabela-de-precos-e-servicos/"/>
    <hyperlink ref="G6" r:id="rId10" display="https://saude.es.gov.br/Media/sesa/Credenciamento/EDITAL%20SESA-SRSV-NRA%20001-26.pdf"/>
    <hyperlink ref="J6" r:id="rId11" display="https://www.cisame.mg.gov.br/compliance/tabela-de-precos-e-servicos/"/>
    <hyperlink ref="M6" r:id="rId12" display="https://www.treslagoas.ms.gov.br/prefeitura-de-tres-lagoas-amplia-acesso-a-consultas-especializadas-com-novo-credenciamento-na-saude/"/>
    <hyperlink ref="G7" r:id="rId13" display="https://saude.es.gov.br/Media/sesa/Credenciamento/EDITAL%20SESA-SRSV-NRA%20001-26.pdf"/>
    <hyperlink ref="J7" r:id="rId14" display="https://www.cisame.mg.gov.br/compliance/tabela-de-precos-e-servicos/"/>
    <hyperlink ref="M7" r:id="rId15" display="https://www.procede.api.br/publica/documentos/PRYXAMTCDSCNU-20260528-145706--!--CREDENCIAMENTO_MEDICOS_EDITAL_2026.pdf"/>
    <hyperlink ref="G8" r:id="rId16" display="https://saude.es.gov.br/Media/sesa/Credenciamento/EDITAL%20SESA-SRSV-NRA%20001-26.pdf"/>
    <hyperlink ref="J8" r:id="rId17" display="https://www.cisame.mg.gov.br/compliance/tabela-de-precos-e-servicos/"/>
    <hyperlink ref="M8" r:id="rId18" display="https://www.treslagoas.ms.gov.br/prefeitura-de-tres-lagoas-amplia-acesso-a-consultas-especializadas-com-novo-credenciamento-na-saude/"/>
    <hyperlink ref="G9" r:id="rId19" display="https://saude.es.gov.br/Media/sesa/Credenciamento/EDITAL%20SESA-SRSV-NRA%20001-26.pdf"/>
    <hyperlink ref="J9" r:id="rId20" display="https://www.cisame.mg.gov.br/compliance/tabela-de-precos-e-servicos/"/>
    <hyperlink ref="M9" r:id="rId21" display="https://www.treslagoas.ms.gov.br/prefeitura-de-tres-lagoas-amplia-acesso-a-consultas-especializadas-com-novo-credenciamento-na-saude/"/>
    <hyperlink ref="G10" r:id="rId22" display="https://saude.es.gov.br/Media/sesa/Credenciamento/EDITAL%20SESA-SRSV-NRA%20001-26.pdf"/>
    <hyperlink ref="J10" r:id="rId23" display="https://www.cisame.mg.gov.br/compliance/tabela-de-precos-e-servicos/"/>
    <hyperlink ref="M10" r:id="rId24" display="https://www.treslagoas.ms.gov.br/prefeitura-de-tres-lagoas-amplia-acesso-a-consultas-especializadas-com-novo-credenciamento-na-saude/"/>
    <hyperlink ref="G11" r:id="rId25" display="https://saude.es.gov.br/Media/sesa/Credenciamento/EDITAL%20SESA-SRSV-NRA%20001-26.pdf"/>
    <hyperlink ref="J11" r:id="rId26" display="https://www.cisame.mg.gov.br/compliance/tabela-de-precos-e-servicos/"/>
    <hyperlink ref="M11" r:id="rId27" display="https://www.treslagoas.ms.gov.br/prefeitura-de-tres-lagoas-amplia-acesso-a-consultas-especializadas-com-novo-credenciamento-na-saude/"/>
    <hyperlink ref="G12" r:id="rId28" display="https://saude.es.gov.br/Media/sesa/Credenciamento/EDITAL%20SESA-SRSV-NRA%20001-26.pdf"/>
    <hyperlink ref="J12" r:id="rId29" display="https://www.cispara.mg.gov.br/transparencia/tabela-oficial-de-procedimentos/tabela-oficial-de-procedimentos-2026/543-01-tabela-oficial-de-consultas-procedimentos-e-servicos-janeiro-de-2026/file"/>
    <hyperlink ref="M12" r:id="rId30" display="https://www.treslagoas.ms.gov.br/prefeitura-de-tres-lagoas-amplia-acesso-a-consultas-especializadas-com-novo-credenciamento-na-saude/"/>
    <hyperlink ref="G13" r:id="rId31" display="https://saude.es.gov.br/Media/sesa/Credenciamento/EDITAL%20SESA-SRSV-NRA%20001-26.pdf"/>
    <hyperlink ref="J13" r:id="rId32" display="https://www.cisame.mg.gov.br/compliance/tabela-de-precos-e-servicos/"/>
    <hyperlink ref="M13" r:id="rId33" display="https://www.treslagoas.ms.gov.br/prefeitura-de-tres-lagoas-amplia-acesso-a-consultas-especializadas-com-novo-credenciamento-na-saude/"/>
    <hyperlink ref="G14" r:id="rId34" display="https://saude.es.gov.br/Media/sesa/Credenciamento/EDITAL%20SESA-SRSV-NRA%20001-26.pdf"/>
    <hyperlink ref="J14" r:id="rId35" display="https://www.cisame.mg.gov.br/compliance/tabela-de-precos-e-servicos/"/>
    <hyperlink ref="M14" r:id="rId36" display="https://www.treslagoas.ms.gov.br/prefeitura-de-tres-lagoas-amplia-acesso-a-consultas-especializadas-com-novo-credenciamento-na-saude/"/>
    <hyperlink ref="G15" r:id="rId37" display="https://saude.es.gov.br/Media/sesa/Credenciamento/EDITAL%20SESA-SRSV-NRA%20001-26.pdf"/>
    <hyperlink ref="J15" r:id="rId38" display="https://www.cisame.mg.gov.br/compliance/tabela-de-precos-e-servicos/"/>
    <hyperlink ref="M15" r:id="rId39" display="https://www.treslagoas.ms.gov.br/prefeitura-de-tres-lagoas-amplia-acesso-a-consultas-especializadas-com-novo-credenciamento-na-saude/"/>
    <hyperlink ref="G16" r:id="rId40" display="https://saude.es.gov.br/Media/sesa/Credenciamento/EDITAL%20SESA-SRSV-NRA%20001-26.pdf"/>
    <hyperlink ref="J16" r:id="rId41" display="https://www.cisame.mg.gov.br/compliance/tabela-de-precos-e-servicos/"/>
    <hyperlink ref="M16" r:id="rId42" display="https://www.treslagoas.ms.gov.br/prefeitura-de-tres-lagoas-amplia-acesso-a-consultas-especializadas-com-novo-credenciamento-na-saude/"/>
    <hyperlink ref="G17" r:id="rId43" display="https://saude.es.gov.br/Media/sesa/Credenciamento/EDITAL%20SESA-SRSV-NRA%20001-26.pdf"/>
    <hyperlink ref="J17" r:id="rId44" display="https://www.cisame.mg.gov.br/compliance/tabela-de-precos-e-servicos/"/>
    <hyperlink ref="M17" r:id="rId45" display="https://www.procede.api.br/publica/documentos/PRYXAMTCDSCNU-20260528-145706--!--CREDENCIAMENTO_MEDICOS_EDITAL_202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7" min="14" style="0" width="12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5"/>
    <col collapsed="false" customWidth="true" hidden="false" outlineLevel="0" max="21" min="21" style="0" width="13"/>
    <col collapsed="false" customWidth="true" hidden="false" outlineLevel="0" max="22" min="22" style="0" width="18"/>
  </cols>
  <sheetData>
    <row r="1" customFormat="false" ht="17.35" hidden="false" customHeight="fals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1.5" hidden="false" customHeight="true" outlineLevel="0" collapsed="false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9" t="s">
        <v>27</v>
      </c>
      <c r="P2" s="9" t="s">
        <v>28</v>
      </c>
      <c r="Q2" s="9" t="s">
        <v>29</v>
      </c>
      <c r="R2" s="9" t="s">
        <v>30</v>
      </c>
      <c r="S2" s="9" t="s">
        <v>31</v>
      </c>
      <c r="T2" s="9" t="s">
        <v>32</v>
      </c>
      <c r="U2" s="9" t="s">
        <v>33</v>
      </c>
      <c r="V2" s="9" t="s">
        <v>34</v>
      </c>
    </row>
    <row r="3" customFormat="false" ht="23.85" hidden="false" customHeight="false" outlineLevel="0" collapsed="false">
      <c r="A3" s="10" t="n">
        <v>1</v>
      </c>
      <c r="B3" s="10" t="s">
        <v>76</v>
      </c>
      <c r="C3" s="10" t="s">
        <v>36</v>
      </c>
      <c r="D3" s="11" t="n">
        <v>65600</v>
      </c>
      <c r="E3" s="10" t="s">
        <v>77</v>
      </c>
      <c r="F3" s="12" t="n">
        <v>115.05</v>
      </c>
      <c r="G3" s="13" t="s">
        <v>78</v>
      </c>
      <c r="H3" s="10" t="s">
        <v>68</v>
      </c>
      <c r="I3" s="12" t="n">
        <v>83.54</v>
      </c>
      <c r="J3" s="13" t="s">
        <v>69</v>
      </c>
      <c r="K3" s="10" t="s">
        <v>79</v>
      </c>
      <c r="L3" s="12" t="n">
        <v>60.72</v>
      </c>
      <c r="M3" s="13" t="s">
        <v>80</v>
      </c>
      <c r="N3" s="12" t="n">
        <f aca="false">IF(COUNT(F3,I3,L3)=0,"",MIN(F3,I3,L3))</f>
        <v>60.72</v>
      </c>
      <c r="O3" s="12" t="n">
        <f aca="false">IF(COUNT(F3,I3,L3)=0,"",AVERAGE(F3,I3,L3))</f>
        <v>86.4366666666667</v>
      </c>
      <c r="P3" s="12" t="n">
        <f aca="false">IF(COUNT(F3,I3,L3)=0,"",MEDIAN(F3,I3,L3))</f>
        <v>83.54</v>
      </c>
      <c r="Q3" s="12" t="n">
        <f aca="false">IF(COUNT(F3,I3,L3)=0,"",MAX(F3,I3,L3))</f>
        <v>115.05</v>
      </c>
      <c r="R3" s="12" t="n">
        <v>87.92</v>
      </c>
      <c r="S3" s="12" t="n">
        <f aca="false">IF(ISNUMBER(R3),ROUNDDOWN(R3*0.96,2),"—")</f>
        <v>84.4</v>
      </c>
      <c r="T3" s="14" t="n">
        <f aca="false">IF(COUNT(F3,I3,L3)=0,"Sem cotação",ROUND(P3,2))</f>
        <v>83.54</v>
      </c>
      <c r="U3" s="15" t="n">
        <f aca="false">IF(AND(ISNUMBER(R3),ISNUMBER(T3)),T3/R3-1,"—")</f>
        <v>-0.0498180163785259</v>
      </c>
      <c r="V3" s="12" t="n">
        <f aca="false">IF(ISNUMBER(T3),D3*T3,0)</f>
        <v>5480224</v>
      </c>
    </row>
    <row r="4" customFormat="false" ht="23.85" hidden="false" customHeight="false" outlineLevel="0" collapsed="false">
      <c r="A4" s="10" t="n">
        <v>2</v>
      </c>
      <c r="B4" s="10" t="s">
        <v>81</v>
      </c>
      <c r="C4" s="10" t="s">
        <v>36</v>
      </c>
      <c r="D4" s="11" t="n">
        <v>10460</v>
      </c>
      <c r="E4" s="10" t="s">
        <v>82</v>
      </c>
      <c r="F4" s="12" t="n">
        <v>90</v>
      </c>
      <c r="G4" s="13" t="s">
        <v>83</v>
      </c>
      <c r="H4" s="10" t="s">
        <v>68</v>
      </c>
      <c r="I4" s="12" t="n">
        <v>77.4</v>
      </c>
      <c r="J4" s="13" t="s">
        <v>69</v>
      </c>
      <c r="K4" s="10" t="s">
        <v>84</v>
      </c>
      <c r="L4" s="12" t="n">
        <v>53.07</v>
      </c>
      <c r="M4" s="13" t="s">
        <v>85</v>
      </c>
      <c r="N4" s="12" t="n">
        <f aca="false">IF(COUNT(F4,I4,L4)=0,"",MIN(F4,I4,L4))</f>
        <v>53.07</v>
      </c>
      <c r="O4" s="12" t="n">
        <f aca="false">IF(COUNT(F4,I4,L4)=0,"",AVERAGE(F4,I4,L4))</f>
        <v>73.49</v>
      </c>
      <c r="P4" s="12" t="n">
        <f aca="false">IF(COUNT(F4,I4,L4)=0,"",MEDIAN(F4,I4,L4))</f>
        <v>77.4</v>
      </c>
      <c r="Q4" s="12" t="n">
        <f aca="false">IF(COUNT(F4,I4,L4)=0,"",MAX(F4,I4,L4))</f>
        <v>90</v>
      </c>
      <c r="R4" s="12" t="n">
        <v>87.92</v>
      </c>
      <c r="S4" s="12" t="n">
        <f aca="false">IF(ISNUMBER(R4),ROUNDDOWN(R4*0.96,2),"—")</f>
        <v>84.4</v>
      </c>
      <c r="T4" s="14" t="n">
        <f aca="false">IF(COUNT(F4,I4,L4)=0,"Sem cotação",ROUND(P4,2))</f>
        <v>77.4</v>
      </c>
      <c r="U4" s="15" t="n">
        <f aca="false">IF(AND(ISNUMBER(R4),ISNUMBER(T4)),T4/R4-1,"—")</f>
        <v>-0.119654231119199</v>
      </c>
      <c r="V4" s="12" t="n">
        <f aca="false">IF(ISNUMBER(T4),D4*T4,0)</f>
        <v>809604</v>
      </c>
    </row>
    <row r="5" customFormat="false" ht="35.05" hidden="false" customHeight="false" outlineLevel="0" collapsed="false">
      <c r="A5" s="10" t="n">
        <v>3</v>
      </c>
      <c r="B5" s="10" t="s">
        <v>86</v>
      </c>
      <c r="C5" s="10" t="s">
        <v>36</v>
      </c>
      <c r="D5" s="11" t="n">
        <v>21325</v>
      </c>
      <c r="E5" s="10" t="s">
        <v>77</v>
      </c>
      <c r="F5" s="12" t="n">
        <v>62.79</v>
      </c>
      <c r="G5" s="13" t="s">
        <v>78</v>
      </c>
      <c r="H5" s="10" t="s">
        <v>87</v>
      </c>
      <c r="I5" s="12" t="n">
        <v>81.87</v>
      </c>
      <c r="J5" s="13" t="s">
        <v>69</v>
      </c>
      <c r="K5" s="10" t="s">
        <v>88</v>
      </c>
      <c r="L5" s="12" t="n">
        <v>89.72</v>
      </c>
      <c r="M5" s="13" t="s">
        <v>89</v>
      </c>
      <c r="N5" s="12" t="n">
        <f aca="false">IF(COUNT(F5,I5,L5)=0,"",MIN(F5,I5,L5))</f>
        <v>62.79</v>
      </c>
      <c r="O5" s="12" t="n">
        <f aca="false">IF(COUNT(F5,I5,L5)=0,"",AVERAGE(F5,I5,L5))</f>
        <v>78.1266666666667</v>
      </c>
      <c r="P5" s="12" t="n">
        <f aca="false">IF(COUNT(F5,I5,L5)=0,"",MEDIAN(F5,I5,L5))</f>
        <v>81.87</v>
      </c>
      <c r="Q5" s="12" t="n">
        <f aca="false">IF(COUNT(F5,I5,L5)=0,"",MAX(F5,I5,L5))</f>
        <v>89.72</v>
      </c>
      <c r="R5" s="12" t="n">
        <v>87.92</v>
      </c>
      <c r="S5" s="12" t="n">
        <f aca="false">IF(ISNUMBER(R5),ROUNDDOWN(R5*0.96,2),"—")</f>
        <v>84.4</v>
      </c>
      <c r="T5" s="14" t="n">
        <f aca="false">IF(COUNT(F5,I5,L5)=0,"Sem cotação",ROUND(P5,2))</f>
        <v>81.87</v>
      </c>
      <c r="U5" s="15" t="n">
        <f aca="false">IF(AND(ISNUMBER(R5),ISNUMBER(T5)),T5/R5-1,"—")</f>
        <v>-0.0688125568698816</v>
      </c>
      <c r="V5" s="12" t="n">
        <f aca="false">IF(ISNUMBER(T5),D5*T5,0)</f>
        <v>1745877.75</v>
      </c>
    </row>
    <row r="6" customFormat="false" ht="23.85" hidden="false" customHeight="false" outlineLevel="0" collapsed="false">
      <c r="A6" s="10" t="n">
        <v>4</v>
      </c>
      <c r="B6" s="10" t="s">
        <v>90</v>
      </c>
      <c r="C6" s="10" t="s">
        <v>36</v>
      </c>
      <c r="D6" s="11" t="n">
        <v>10460</v>
      </c>
      <c r="E6" s="10" t="s">
        <v>82</v>
      </c>
      <c r="F6" s="12" t="n">
        <v>90</v>
      </c>
      <c r="G6" s="13" t="s">
        <v>83</v>
      </c>
      <c r="H6" s="10" t="s">
        <v>68</v>
      </c>
      <c r="I6" s="12" t="n">
        <v>71.28</v>
      </c>
      <c r="J6" s="13" t="s">
        <v>69</v>
      </c>
      <c r="K6" s="10" t="s">
        <v>79</v>
      </c>
      <c r="L6" s="12" t="n">
        <v>44.28</v>
      </c>
      <c r="M6" s="13" t="s">
        <v>80</v>
      </c>
      <c r="N6" s="12" t="n">
        <f aca="false">IF(COUNT(F6,I6,L6)=0,"",MIN(F6,I6,L6))</f>
        <v>44.28</v>
      </c>
      <c r="O6" s="12" t="n">
        <f aca="false">IF(COUNT(F6,I6,L6)=0,"",AVERAGE(F6,I6,L6))</f>
        <v>68.52</v>
      </c>
      <c r="P6" s="12" t="n">
        <f aca="false">IF(COUNT(F6,I6,L6)=0,"",MEDIAN(F6,I6,L6))</f>
        <v>71.28</v>
      </c>
      <c r="Q6" s="12" t="n">
        <f aca="false">IF(COUNT(F6,I6,L6)=0,"",MAX(F6,I6,L6))</f>
        <v>90</v>
      </c>
      <c r="R6" s="12" t="n">
        <v>87.92</v>
      </c>
      <c r="S6" s="12" t="n">
        <f aca="false">IF(ISNUMBER(R6),ROUNDDOWN(R6*0.96,2),"—")</f>
        <v>84.4</v>
      </c>
      <c r="T6" s="14" t="n">
        <f aca="false">IF(COUNT(F6,I6,L6)=0,"Sem cotação",ROUND(P6,2))</f>
        <v>71.28</v>
      </c>
      <c r="U6" s="15" t="n">
        <f aca="false">IF(AND(ISNUMBER(R6),ISNUMBER(T6)),T6/R6-1,"—")</f>
        <v>-0.18926296633303</v>
      </c>
      <c r="V6" s="12" t="n">
        <f aca="false">IF(ISNUMBER(T6),D6*T6,0)</f>
        <v>745588.8</v>
      </c>
    </row>
    <row r="7" customFormat="false" ht="23.85" hidden="false" customHeight="false" outlineLevel="0" collapsed="false">
      <c r="A7" s="10" t="n">
        <v>5</v>
      </c>
      <c r="B7" s="10" t="s">
        <v>91</v>
      </c>
      <c r="C7" s="10" t="s">
        <v>36</v>
      </c>
      <c r="D7" s="11" t="n">
        <v>14885</v>
      </c>
      <c r="E7" s="10" t="s">
        <v>92</v>
      </c>
      <c r="F7" s="12" t="n">
        <v>211.26</v>
      </c>
      <c r="G7" s="13" t="s">
        <v>93</v>
      </c>
      <c r="H7" s="10" t="s">
        <v>94</v>
      </c>
      <c r="I7" s="12" t="n">
        <v>244.92</v>
      </c>
      <c r="J7" s="13" t="s">
        <v>95</v>
      </c>
      <c r="K7" s="10" t="s">
        <v>49</v>
      </c>
      <c r="L7" s="12" t="n">
        <v>190.45</v>
      </c>
      <c r="M7" s="13" t="s">
        <v>50</v>
      </c>
      <c r="N7" s="12" t="n">
        <f aca="false">IF(COUNT(F7,I7,L7)=0,"",MIN(F7,I7,L7))</f>
        <v>190.45</v>
      </c>
      <c r="O7" s="12" t="n">
        <f aca="false">IF(COUNT(F7,I7,L7)=0,"",AVERAGE(F7,I7,L7))</f>
        <v>215.543333333333</v>
      </c>
      <c r="P7" s="12" t="n">
        <f aca="false">IF(COUNT(F7,I7,L7)=0,"",MEDIAN(F7,I7,L7))</f>
        <v>211.26</v>
      </c>
      <c r="Q7" s="12" t="n">
        <f aca="false">IF(COUNT(F7,I7,L7)=0,"",MAX(F7,I7,L7))</f>
        <v>244.92</v>
      </c>
      <c r="R7" s="12" t="s">
        <v>96</v>
      </c>
      <c r="S7" s="12" t="str">
        <f aca="false">IF(ISNUMBER(R7),ROUNDDOWN(R7*0.96,2),"—")</f>
        <v>—</v>
      </c>
      <c r="T7" s="14" t="n">
        <f aca="false">IF(COUNT(F7,I7,L7)=0,"Sem cotação",ROUND(P7,2))</f>
        <v>211.26</v>
      </c>
      <c r="U7" s="15" t="str">
        <f aca="false">IF(AND(ISNUMBER(R7),ISNUMBER(T7)),T7/R7-1,"—")</f>
        <v>—</v>
      </c>
      <c r="V7" s="12" t="n">
        <f aca="false">IF(ISNUMBER(T7),D7*T7,0)</f>
        <v>3144605.1</v>
      </c>
    </row>
    <row r="8" customFormat="false" ht="23.85" hidden="false" customHeight="false" outlineLevel="0" collapsed="false">
      <c r="A8" s="10" t="n">
        <v>6</v>
      </c>
      <c r="B8" s="10" t="s">
        <v>97</v>
      </c>
      <c r="C8" s="10" t="s">
        <v>36</v>
      </c>
      <c r="D8" s="11" t="n">
        <v>3174</v>
      </c>
      <c r="E8" s="10" t="s">
        <v>98</v>
      </c>
      <c r="F8" s="12" t="n">
        <v>187.17</v>
      </c>
      <c r="G8" s="13" t="s">
        <v>99</v>
      </c>
      <c r="H8" s="10" t="s">
        <v>79</v>
      </c>
      <c r="I8" s="12" t="n">
        <v>64.37</v>
      </c>
      <c r="J8" s="13" t="s">
        <v>80</v>
      </c>
      <c r="K8" s="10" t="s">
        <v>100</v>
      </c>
      <c r="L8" s="12" t="n">
        <v>75</v>
      </c>
      <c r="M8" s="13" t="s">
        <v>101</v>
      </c>
      <c r="N8" s="12" t="n">
        <f aca="false">IF(COUNT(F8,I8,L8)=0,"",MIN(F8,I8,L8))</f>
        <v>64.37</v>
      </c>
      <c r="O8" s="12" t="n">
        <f aca="false">IF(COUNT(F8,I8,L8)=0,"",AVERAGE(F8,I8,L8))</f>
        <v>108.846666666667</v>
      </c>
      <c r="P8" s="12" t="n">
        <f aca="false">IF(COUNT(F8,I8,L8)=0,"",MEDIAN(F8,I8,L8))</f>
        <v>75</v>
      </c>
      <c r="Q8" s="12" t="n">
        <f aca="false">IF(COUNT(F8,I8,L8)=0,"",MAX(F8,I8,L8))</f>
        <v>187.17</v>
      </c>
      <c r="R8" s="12" t="s">
        <v>96</v>
      </c>
      <c r="S8" s="12" t="str">
        <f aca="false">IF(ISNUMBER(R8),ROUNDDOWN(R8*0.96,2),"—")</f>
        <v>—</v>
      </c>
      <c r="T8" s="14" t="n">
        <f aca="false">IF(COUNT(F8,I8,L8)=0,"Sem cotação",ROUND(P8,2))</f>
        <v>75</v>
      </c>
      <c r="U8" s="15" t="str">
        <f aca="false">IF(AND(ISNUMBER(R8),ISNUMBER(T8)),T8/R8-1,"—")</f>
        <v>—</v>
      </c>
      <c r="V8" s="12" t="n">
        <f aca="false">IF(ISNUMBER(T8),D8*T8,0)</f>
        <v>238050</v>
      </c>
    </row>
    <row r="9" customFormat="false" ht="23.85" hidden="false" customHeight="false" outlineLevel="0" collapsed="false">
      <c r="A9" s="10" t="n">
        <v>7</v>
      </c>
      <c r="B9" s="10" t="s">
        <v>102</v>
      </c>
      <c r="C9" s="10" t="s">
        <v>36</v>
      </c>
      <c r="D9" s="11" t="n">
        <v>4525</v>
      </c>
      <c r="E9" s="10" t="s">
        <v>82</v>
      </c>
      <c r="F9" s="12" t="n">
        <v>90</v>
      </c>
      <c r="G9" s="13" t="s">
        <v>83</v>
      </c>
      <c r="H9" s="10" t="s">
        <v>103</v>
      </c>
      <c r="I9" s="12" t="n">
        <v>76.88</v>
      </c>
      <c r="J9" s="13" t="s">
        <v>104</v>
      </c>
      <c r="K9" s="10" t="s">
        <v>105</v>
      </c>
      <c r="L9" s="12" t="n">
        <v>47.76</v>
      </c>
      <c r="M9" s="13" t="s">
        <v>85</v>
      </c>
      <c r="N9" s="12" t="n">
        <f aca="false">IF(COUNT(F9,I9,L9)=0,"",MIN(F9,I9,L9))</f>
        <v>47.76</v>
      </c>
      <c r="O9" s="12" t="n">
        <f aca="false">IF(COUNT(F9,I9,L9)=0,"",AVERAGE(F9,I9,L9))</f>
        <v>71.5466666666667</v>
      </c>
      <c r="P9" s="12" t="n">
        <f aca="false">IF(COUNT(F9,I9,L9)=0,"",MEDIAN(F9,I9,L9))</f>
        <v>76.88</v>
      </c>
      <c r="Q9" s="12" t="n">
        <f aca="false">IF(COUNT(F9,I9,L9)=0,"",MAX(F9,I9,L9))</f>
        <v>90</v>
      </c>
      <c r="R9" s="12" t="n">
        <v>87.92</v>
      </c>
      <c r="S9" s="12" t="n">
        <f aca="false">IF(ISNUMBER(R9),ROUNDDOWN(R9*0.96,2),"—")</f>
        <v>84.4</v>
      </c>
      <c r="T9" s="14" t="n">
        <f aca="false">IF(COUNT(F9,I9,L9)=0,"Sem cotação",ROUND(P9,2))</f>
        <v>76.88</v>
      </c>
      <c r="U9" s="15" t="n">
        <f aca="false">IF(AND(ISNUMBER(R9),ISNUMBER(T9)),T9/R9-1,"—")</f>
        <v>-0.125568698817107</v>
      </c>
      <c r="V9" s="12" t="n">
        <f aca="false">IF(ISNUMBER(T9),D9*T9,0)</f>
        <v>347882</v>
      </c>
    </row>
    <row r="10" customFormat="false" ht="23.85" hidden="false" customHeight="false" outlineLevel="0" collapsed="false">
      <c r="A10" s="10" t="n">
        <v>8</v>
      </c>
      <c r="B10" s="10" t="s">
        <v>106</v>
      </c>
      <c r="C10" s="10" t="s">
        <v>36</v>
      </c>
      <c r="D10" s="11" t="n">
        <v>4525</v>
      </c>
      <c r="E10" s="10" t="s">
        <v>107</v>
      </c>
      <c r="F10" s="12" t="n">
        <v>100.74</v>
      </c>
      <c r="G10" s="13" t="s">
        <v>108</v>
      </c>
      <c r="H10" s="10" t="s">
        <v>109</v>
      </c>
      <c r="I10" s="12" t="n">
        <v>76.88</v>
      </c>
      <c r="J10" s="13" t="s">
        <v>104</v>
      </c>
      <c r="K10" s="10" t="s">
        <v>110</v>
      </c>
      <c r="L10" s="12" t="n">
        <v>47.76</v>
      </c>
      <c r="M10" s="13" t="s">
        <v>85</v>
      </c>
      <c r="N10" s="12" t="n">
        <f aca="false">IF(COUNT(F10,I10,L10)=0,"",MIN(F10,I10,L10))</f>
        <v>47.76</v>
      </c>
      <c r="O10" s="12" t="n">
        <f aca="false">IF(COUNT(F10,I10,L10)=0,"",AVERAGE(F10,I10,L10))</f>
        <v>75.1266666666667</v>
      </c>
      <c r="P10" s="12" t="n">
        <f aca="false">IF(COUNT(F10,I10,L10)=0,"",MEDIAN(F10,I10,L10))</f>
        <v>76.88</v>
      </c>
      <c r="Q10" s="12" t="n">
        <f aca="false">IF(COUNT(F10,I10,L10)=0,"",MAX(F10,I10,L10))</f>
        <v>100.74</v>
      </c>
      <c r="R10" s="12" t="n">
        <v>87.92</v>
      </c>
      <c r="S10" s="12" t="n">
        <f aca="false">IF(ISNUMBER(R10),ROUNDDOWN(R10*0.96,2),"—")</f>
        <v>84.4</v>
      </c>
      <c r="T10" s="14" t="n">
        <f aca="false">IF(COUNT(F10,I10,L10)=0,"Sem cotação",ROUND(P10,2))</f>
        <v>76.88</v>
      </c>
      <c r="U10" s="15" t="n">
        <f aca="false">IF(AND(ISNUMBER(R10),ISNUMBER(T10)),T10/R10-1,"—")</f>
        <v>-0.125568698817107</v>
      </c>
      <c r="V10" s="12" t="n">
        <f aca="false">IF(ISNUMBER(T10),D10*T10,0)</f>
        <v>347882</v>
      </c>
    </row>
    <row r="11" customFormat="false" ht="35.05" hidden="false" customHeight="false" outlineLevel="0" collapsed="false">
      <c r="A11" s="10" t="n">
        <v>9</v>
      </c>
      <c r="B11" s="10" t="s">
        <v>111</v>
      </c>
      <c r="C11" s="10" t="s">
        <v>36</v>
      </c>
      <c r="D11" s="11" t="n">
        <v>54300</v>
      </c>
      <c r="E11" s="10" t="s">
        <v>82</v>
      </c>
      <c r="F11" s="12" t="n">
        <v>95.31</v>
      </c>
      <c r="G11" s="13" t="s">
        <v>83</v>
      </c>
      <c r="H11" s="10" t="s">
        <v>112</v>
      </c>
      <c r="I11" s="12" t="n">
        <v>80</v>
      </c>
      <c r="J11" s="13" t="s">
        <v>113</v>
      </c>
      <c r="K11" s="10" t="s">
        <v>79</v>
      </c>
      <c r="L11" s="12" t="n">
        <v>54.87</v>
      </c>
      <c r="M11" s="13" t="s">
        <v>80</v>
      </c>
      <c r="N11" s="12" t="n">
        <f aca="false">IF(COUNT(F11,I11,L11)=0,"",MIN(F11,I11,L11))</f>
        <v>54.87</v>
      </c>
      <c r="O11" s="12" t="n">
        <f aca="false">IF(COUNT(F11,I11,L11)=0,"",AVERAGE(F11,I11,L11))</f>
        <v>76.7266666666667</v>
      </c>
      <c r="P11" s="12" t="n">
        <f aca="false">IF(COUNT(F11,I11,L11)=0,"",MEDIAN(F11,I11,L11))</f>
        <v>80</v>
      </c>
      <c r="Q11" s="12" t="n">
        <f aca="false">IF(COUNT(F11,I11,L11)=0,"",MAX(F11,I11,L11))</f>
        <v>95.31</v>
      </c>
      <c r="R11" s="12" t="n">
        <v>87.92</v>
      </c>
      <c r="S11" s="12" t="n">
        <f aca="false">IF(ISNUMBER(R11),ROUNDDOWN(R11*0.96,2),"—")</f>
        <v>84.4</v>
      </c>
      <c r="T11" s="14" t="n">
        <f aca="false">IF(COUNT(F11,I11,L11)=0,"Sem cotação",ROUND(P11,2))</f>
        <v>80</v>
      </c>
      <c r="U11" s="15" t="n">
        <f aca="false">IF(AND(ISNUMBER(R11),ISNUMBER(T11)),T11/R11-1,"—")</f>
        <v>-0.0900818926296634</v>
      </c>
      <c r="V11" s="12" t="n">
        <f aca="false">IF(ISNUMBER(T11),D11*T11,0)</f>
        <v>4344000</v>
      </c>
    </row>
    <row r="12" customFormat="false" ht="15" hidden="false" customHeight="false" outlineLevel="0" collapsed="false">
      <c r="A12" s="16"/>
      <c r="B12" s="6" t="s">
        <v>43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7" t="n">
        <f aca="false">SUM(V3:V11)</f>
        <v>17203713.65</v>
      </c>
    </row>
  </sheetData>
  <mergeCells count="1">
    <mergeCell ref="A1:V1"/>
  </mergeCells>
  <hyperlinks>
    <hyperlink ref="G3" r:id="rId1" display="https://www.sarapui.sp.gov.br/ata-registro-preco/page/1/download/839"/>
    <hyperlink ref="J3" r:id="rId2" display="https://www.cispara.mg.gov.br/transparencia/tabela-oficial-de-procedimentos/tabela-oficial-de-procedimentos-2026/543-01-tabela-oficial-de-consultas-procedimentos-e-servicos-janeiro-de-2026/file"/>
    <hyperlink ref="M3" r:id="rId3" display="https://www.cimexpandidasul.com.br/institucional/tabela-de-servicos/562-tabela-atualizada-01-01-2026/file"/>
    <hyperlink ref="G4" r:id="rId4" display="https://quilombo.sc.gov.br/uploads/sites/96/2025/04/5-EDITAL-DE-CREDENCIAMENTO-05-2025-exames-imagem.pdf"/>
    <hyperlink ref="J4" r:id="rId5" display="https://www.cispara.mg.gov.br/transparencia/tabela-oficial-de-procedimentos/tabela-oficial-de-procedimentos-2026/543-01-tabela-oficial-de-consultas-procedimentos-e-servicos-janeiro-de-2026/file"/>
    <hyperlink ref="M4" r:id="rId6" display="https://www.cisamusep.org.br/uploads/arquivoChamamento/TABELA-CISAMUSEP-2026.pdf"/>
    <hyperlink ref="G5" r:id="rId7" display="https://www.sarapui.sp.gov.br/ata-registro-preco/page/1/download/839"/>
    <hyperlink ref="J5" r:id="rId8" display="https://www.cispara.mg.gov.br/transparencia/tabela-oficial-de-procedimentos/tabela-oficial-de-procedimentos-2026/543-01-tabela-oficial-de-consultas-procedimentos-e-servicos-janeiro-de-2026/file"/>
    <hyperlink ref="M5" r:id="rId9" display="https://lucasdorioverde.mt.gov.br/arquivos//licitacoes/3709/edital.pdf"/>
    <hyperlink ref="G6" r:id="rId10" display="https://quilombo.sc.gov.br/uploads/sites/96/2025/04/5-EDITAL-DE-CREDENCIAMENTO-05-2025-exames-imagem.pdf"/>
    <hyperlink ref="J6" r:id="rId11" display="https://www.cispara.mg.gov.br/transparencia/tabela-oficial-de-procedimentos/tabela-oficial-de-procedimentos-2026/543-01-tabela-oficial-de-consultas-procedimentos-e-servicos-janeiro-de-2026/file"/>
    <hyperlink ref="M6" r:id="rId12" display="https://www.cimexpandidasul.com.br/institucional/tabela-de-servicos/562-tabela-atualizada-01-01-2026/file"/>
    <hyperlink ref="G7" r:id="rId13" display="https://inovacapixaba.es.gov.br/media/Editais/Licita%C3%A7%C3%A3o/Preg%C3%A3o/Edital_n%C2%BA_068_2025_2024_T5Q1Z_Servi%C3%A7os_M%C3%A9dicos_de_Ecocardiograma_REPUBL..pdf"/>
    <hyperlink ref="J7" r:id="rId14" display="https://pncp.gov.br/app/editais/05193057000178/2026/124"/>
    <hyperlink ref="M7" r:id="rId15" display="https://www.cisame.mg.gov.br/compliance/tabela-de-precos-e-servicos/"/>
    <hyperlink ref="G8" r:id="rId16" display="https://pncp.gov.br/pncp-api/v1/orgaos/01603719000180/compras/2025/95/arquivos/1"/>
    <hyperlink ref="J8" r:id="rId17" display="https://www.cimexpandidasul.com.br/institucional/tabela-de-servicos/562-tabela-atualizada-01-01-2026/file"/>
    <hyperlink ref="M8" r:id="rId18" display="https://www.praiagrande.sp.gov.br/arquivos/ChamadaPublica/46047.pdf"/>
    <hyperlink ref="G9" r:id="rId19" display="https://quilombo.sc.gov.br/uploads/sites/96/2025/04/5-EDITAL-DE-CREDENCIAMENTO-05-2025-exames-imagem.pdf"/>
    <hyperlink ref="J9" r:id="rId20" display="https://copirn.org.br/wp-content/uploads/2025/01/TABELA-DE-SERVICOS-DE-SAUDE-COPIRN-2.pdf"/>
    <hyperlink ref="M9" r:id="rId21" display="https://www.cisamusep.org.br/uploads/arquivoChamamento/TABELA-CISAMUSEP-2026.pdf"/>
    <hyperlink ref="G10" r:id="rId22" display="https://www.vargem.sc.gov.br/uploads/sites/94/2025/03/Edital-FMS-VRG-2025_013_PE_005_90023-Ultrassom.pdf"/>
    <hyperlink ref="J10" r:id="rId23" display="https://copirn.org.br/wp-content/uploads/2025/01/TABELA-DE-SERVICOS-DE-SAUDE-COPIRN-2.pdf"/>
    <hyperlink ref="M10" r:id="rId24" display="https://www.cisamusep.org.br/uploads/arquivoChamamento/TABELA-CISAMUSEP-2026.pdf"/>
    <hyperlink ref="G11" r:id="rId25" display="https://quilombo.sc.gov.br/uploads/sites/96/2025/04/5-EDITAL-DE-CREDENCIAMENTO-05-2025-exames-imagem.pdf"/>
    <hyperlink ref="J11" r:id="rId26" display="https://ia.mabus.com.br/licitacao/6466406/credenciamento-consorcio-intermunicipal-de-saude-uniao-da-mata-leopoldina-mg"/>
    <hyperlink ref="M11" r:id="rId27" display="https://www.cimexpandidasul.com.br/institucional/tabela-de-servicos/562-tabela-atualizada-01-01-2026/fi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7" min="14" style="0" width="12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5"/>
    <col collapsed="false" customWidth="true" hidden="false" outlineLevel="0" max="21" min="21" style="0" width="13"/>
    <col collapsed="false" customWidth="true" hidden="false" outlineLevel="0" max="22" min="22" style="0" width="18"/>
  </cols>
  <sheetData>
    <row r="1" customFormat="false" ht="17.35" hidden="false" customHeight="fals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1.5" hidden="false" customHeight="true" outlineLevel="0" collapsed="false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9" t="s">
        <v>27</v>
      </c>
      <c r="P2" s="9" t="s">
        <v>28</v>
      </c>
      <c r="Q2" s="9" t="s">
        <v>29</v>
      </c>
      <c r="R2" s="9" t="s">
        <v>30</v>
      </c>
      <c r="S2" s="9" t="s">
        <v>31</v>
      </c>
      <c r="T2" s="9" t="s">
        <v>32</v>
      </c>
      <c r="U2" s="9" t="s">
        <v>33</v>
      </c>
      <c r="V2" s="9" t="s">
        <v>34</v>
      </c>
    </row>
    <row r="3" customFormat="false" ht="35.05" hidden="false" customHeight="false" outlineLevel="0" collapsed="false">
      <c r="A3" s="10" t="n">
        <v>1</v>
      </c>
      <c r="B3" s="10" t="s">
        <v>115</v>
      </c>
      <c r="C3" s="10" t="s">
        <v>36</v>
      </c>
      <c r="D3" s="11" t="n">
        <v>27150</v>
      </c>
      <c r="E3" s="10" t="s">
        <v>116</v>
      </c>
      <c r="F3" s="12" t="n">
        <v>420</v>
      </c>
      <c r="G3" s="13" t="s">
        <v>38</v>
      </c>
      <c r="H3" s="10" t="s">
        <v>117</v>
      </c>
      <c r="I3" s="12" t="n">
        <v>400</v>
      </c>
      <c r="J3" s="13" t="s">
        <v>118</v>
      </c>
      <c r="K3" s="10" t="s">
        <v>119</v>
      </c>
      <c r="L3" s="12" t="n">
        <v>543.33</v>
      </c>
      <c r="M3" s="13" t="s">
        <v>52</v>
      </c>
      <c r="N3" s="12" t="n">
        <f aca="false">IF(COUNT(F3,I3,L3)=0,"",MIN(F3,I3,L3))</f>
        <v>400</v>
      </c>
      <c r="O3" s="12" t="n">
        <f aca="false">IF(COUNT(F3,I3,L3)=0,"",AVERAGE(F3,I3,L3))</f>
        <v>454.443333333333</v>
      </c>
      <c r="P3" s="12" t="n">
        <f aca="false">IF(COUNT(F3,I3,L3)=0,"",MEDIAN(F3,I3,L3))</f>
        <v>420</v>
      </c>
      <c r="Q3" s="12" t="n">
        <f aca="false">IF(COUNT(F3,I3,L3)=0,"",MAX(F3,I3,L3))</f>
        <v>543.33</v>
      </c>
      <c r="R3" s="12" t="s">
        <v>96</v>
      </c>
      <c r="S3" s="12" t="str">
        <f aca="false">IF(ISNUMBER(R3),ROUNDDOWN(R3*0.96,2),"—")</f>
        <v>—</v>
      </c>
      <c r="T3" s="14" t="n">
        <f aca="false">IF(COUNT(F3,I3,L3)=0,"Sem cotação",ROUND(P3,2))</f>
        <v>420</v>
      </c>
      <c r="U3" s="15" t="str">
        <f aca="false">IF(AND(ISNUMBER(R3),ISNUMBER(T3)),T3/R3-1,"—")</f>
        <v>—</v>
      </c>
      <c r="V3" s="12" t="n">
        <f aca="false">IF(ISNUMBER(T3),D3*T3,0)</f>
        <v>11403000</v>
      </c>
    </row>
    <row r="4" customFormat="false" ht="35.05" hidden="false" customHeight="false" outlineLevel="0" collapsed="false">
      <c r="A4" s="10" t="n">
        <v>2</v>
      </c>
      <c r="B4" s="10" t="s">
        <v>120</v>
      </c>
      <c r="C4" s="10" t="s">
        <v>121</v>
      </c>
      <c r="D4" s="11" t="n">
        <v>4073</v>
      </c>
      <c r="E4" s="10" t="s">
        <v>122</v>
      </c>
      <c r="F4" s="12" t="n">
        <v>77</v>
      </c>
      <c r="G4" s="13" t="s">
        <v>78</v>
      </c>
      <c r="H4" s="10" t="s">
        <v>123</v>
      </c>
      <c r="I4" s="12" t="n">
        <v>300</v>
      </c>
      <c r="J4" s="13" t="s">
        <v>118</v>
      </c>
      <c r="K4" s="10" t="s">
        <v>124</v>
      </c>
      <c r="L4" s="12" t="n">
        <v>110</v>
      </c>
      <c r="M4" s="13" t="s">
        <v>52</v>
      </c>
      <c r="N4" s="12" t="n">
        <f aca="false">IF(COUNT(F4,I4,L4)=0,"",MIN(F4,I4,L4))</f>
        <v>77</v>
      </c>
      <c r="O4" s="12" t="n">
        <f aca="false">IF(COUNT(F4,I4,L4)=0,"",AVERAGE(F4,I4,L4))</f>
        <v>162.333333333333</v>
      </c>
      <c r="P4" s="12" t="n">
        <f aca="false">IF(COUNT(F4,I4,L4)=0,"",MEDIAN(F4,I4,L4))</f>
        <v>110</v>
      </c>
      <c r="Q4" s="12" t="n">
        <f aca="false">IF(COUNT(F4,I4,L4)=0,"",MAX(F4,I4,L4))</f>
        <v>300</v>
      </c>
      <c r="R4" s="12" t="s">
        <v>96</v>
      </c>
      <c r="S4" s="12" t="str">
        <f aca="false">IF(ISNUMBER(R4),ROUNDDOWN(R4*0.96,2),"—")</f>
        <v>—</v>
      </c>
      <c r="T4" s="14" t="n">
        <f aca="false">IF(COUNT(F4,I4,L4)=0,"Sem cotação",ROUND(P4,2))</f>
        <v>110</v>
      </c>
      <c r="U4" s="15" t="str">
        <f aca="false">IF(AND(ISNUMBER(R4),ISNUMBER(T4)),T4/R4-1,"—")</f>
        <v>—</v>
      </c>
      <c r="V4" s="12" t="n">
        <f aca="false">IF(ISNUMBER(T4),D4*T4,0)</f>
        <v>448030</v>
      </c>
    </row>
    <row r="5" customFormat="false" ht="15" hidden="false" customHeight="false" outlineLevel="0" collapsed="false">
      <c r="A5" s="16"/>
      <c r="B5" s="6" t="s">
        <v>43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7" t="n">
        <f aca="false">SUM(V3:V4)</f>
        <v>11851030</v>
      </c>
    </row>
  </sheetData>
  <mergeCells count="1">
    <mergeCell ref="A1:V1"/>
  </mergeCells>
  <hyperlinks>
    <hyperlink ref="G3" r:id="rId1" display="https://pncp.gov.br/pncp-api/v1/orgaos/71203715000190/compras/2026/1/arquivos/1"/>
    <hyperlink ref="J3" r:id="rId2" display="https://pncp.gov.br/app/editais/13674817000197/2026/64"/>
    <hyperlink ref="M3" r:id="rId3" display="https://www.procede.api.br/publica/documentos/PRYXAMTCDSCNU-20260528-145706--!--CREDENCIAMENTO_MEDICOS_EDITAL_2026.pdf"/>
    <hyperlink ref="G4" r:id="rId4" display="https://www.sarapui.sp.gov.br/ata-registro-preco/page/1/download/839"/>
    <hyperlink ref="J4" r:id="rId5" display="https://pncp.gov.br/app/editais/13674817000197/2026/64"/>
    <hyperlink ref="M4" r:id="rId6" display="https://www.procede.api.br/publica/documentos/PRYXAMTCDSCNU-20260528-145706--!--CREDENCIAMENTO_MEDICOS_EDITAL_202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12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12"/>
    <col collapsed="false" customWidth="true" hidden="false" outlineLevel="0" max="13" min="13" style="0" width="30"/>
    <col collapsed="false" customWidth="true" hidden="false" outlineLevel="0" max="17" min="14" style="0" width="12"/>
    <col collapsed="false" customWidth="true" hidden="false" outlineLevel="0" max="18" min="18" style="0" width="16"/>
    <col collapsed="false" customWidth="true" hidden="false" outlineLevel="0" max="19" min="19" style="0" width="14"/>
    <col collapsed="false" customWidth="true" hidden="false" outlineLevel="0" max="20" min="20" style="0" width="15"/>
    <col collapsed="false" customWidth="true" hidden="false" outlineLevel="0" max="21" min="21" style="0" width="13"/>
    <col collapsed="false" customWidth="true" hidden="false" outlineLevel="0" max="22" min="22" style="0" width="18"/>
  </cols>
  <sheetData>
    <row r="1" customFormat="false" ht="17.35" hidden="false" customHeight="false" outlineLevel="0" collapsed="false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31.5" hidden="false" customHeight="true" outlineLevel="0" collapsed="false">
      <c r="A2" s="9" t="s">
        <v>13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9" t="s">
        <v>21</v>
      </c>
      <c r="J2" s="9" t="s">
        <v>22</v>
      </c>
      <c r="K2" s="9" t="s">
        <v>23</v>
      </c>
      <c r="L2" s="9" t="s">
        <v>24</v>
      </c>
      <c r="M2" s="9" t="s">
        <v>25</v>
      </c>
      <c r="N2" s="9" t="s">
        <v>26</v>
      </c>
      <c r="O2" s="9" t="s">
        <v>27</v>
      </c>
      <c r="P2" s="9" t="s">
        <v>28</v>
      </c>
      <c r="Q2" s="9" t="s">
        <v>29</v>
      </c>
      <c r="R2" s="9" t="s">
        <v>30</v>
      </c>
      <c r="S2" s="9" t="s">
        <v>31</v>
      </c>
      <c r="T2" s="9" t="s">
        <v>32</v>
      </c>
      <c r="U2" s="9" t="s">
        <v>33</v>
      </c>
      <c r="V2" s="9" t="s">
        <v>34</v>
      </c>
    </row>
    <row r="3" customFormat="false" ht="35.05" hidden="false" customHeight="false" outlineLevel="0" collapsed="false">
      <c r="A3" s="10" t="n">
        <v>1</v>
      </c>
      <c r="B3" s="10" t="s">
        <v>126</v>
      </c>
      <c r="C3" s="10" t="s">
        <v>46</v>
      </c>
      <c r="D3" s="11" t="n">
        <v>90118</v>
      </c>
      <c r="E3" s="10" t="s">
        <v>127</v>
      </c>
      <c r="F3" s="12" t="n">
        <v>66.5</v>
      </c>
      <c r="G3" s="13" t="s">
        <v>40</v>
      </c>
      <c r="H3" s="10" t="s">
        <v>128</v>
      </c>
      <c r="I3" s="12" t="n">
        <v>90.1</v>
      </c>
      <c r="J3" s="13" t="s">
        <v>129</v>
      </c>
      <c r="K3" s="10" t="s">
        <v>130</v>
      </c>
      <c r="L3" s="12" t="n">
        <v>78.4</v>
      </c>
      <c r="M3" s="13" t="s">
        <v>131</v>
      </c>
      <c r="N3" s="12" t="n">
        <f aca="false">IF(COUNT(F3,I3,L3)=0,"",MIN(F3,I3,L3))</f>
        <v>66.5</v>
      </c>
      <c r="O3" s="12" t="n">
        <f aca="false">IF(COUNT(F3,I3,L3)=0,"",AVERAGE(F3,I3,L3))</f>
        <v>78.3333333333333</v>
      </c>
      <c r="P3" s="12" t="n">
        <f aca="false">IF(COUNT(F3,I3,L3)=0,"",MEDIAN(F3,I3,L3))</f>
        <v>78.4</v>
      </c>
      <c r="Q3" s="12" t="n">
        <f aca="false">IF(COUNT(F3,I3,L3)=0,"",MAX(F3,I3,L3))</f>
        <v>90.1</v>
      </c>
      <c r="R3" s="12" t="s">
        <v>96</v>
      </c>
      <c r="S3" s="12" t="str">
        <f aca="false">IF(ISNUMBER(R3),ROUNDDOWN(R3*0.96,2),"—")</f>
        <v>—</v>
      </c>
      <c r="T3" s="14" t="n">
        <f aca="false">IF(COUNT(F3,I3,L3)=0,"Sem cotação",ROUND(P3,2))</f>
        <v>78.4</v>
      </c>
      <c r="U3" s="15" t="str">
        <f aca="false">IF(AND(ISNUMBER(R3),ISNUMBER(T3)),T3/R3-1,"—")</f>
        <v>—</v>
      </c>
      <c r="V3" s="12" t="n">
        <f aca="false">IF(ISNUMBER(T3),D3*T3,0)</f>
        <v>7065251.2</v>
      </c>
    </row>
    <row r="4" customFormat="false" ht="35.05" hidden="false" customHeight="false" outlineLevel="0" collapsed="false">
      <c r="A4" s="10" t="n">
        <v>2</v>
      </c>
      <c r="B4" s="10" t="s">
        <v>132</v>
      </c>
      <c r="C4" s="10" t="s">
        <v>133</v>
      </c>
      <c r="D4" s="11" t="n">
        <v>905</v>
      </c>
      <c r="E4" s="10" t="s">
        <v>127</v>
      </c>
      <c r="F4" s="12" t="n">
        <v>53.8</v>
      </c>
      <c r="G4" s="13" t="s">
        <v>40</v>
      </c>
      <c r="H4" s="10" t="s">
        <v>128</v>
      </c>
      <c r="I4" s="12" t="n">
        <v>76.05</v>
      </c>
      <c r="J4" s="13" t="s">
        <v>129</v>
      </c>
      <c r="K4" s="10" t="s">
        <v>134</v>
      </c>
      <c r="L4" s="12" t="n">
        <v>19</v>
      </c>
      <c r="M4" s="13" t="s">
        <v>135</v>
      </c>
      <c r="N4" s="12" t="n">
        <f aca="false">IF(COUNT(F4,I4,L4)=0,"",MIN(F4,I4,L4))</f>
        <v>19</v>
      </c>
      <c r="O4" s="12" t="n">
        <f aca="false">IF(COUNT(F4,I4,L4)=0,"",AVERAGE(F4,I4,L4))</f>
        <v>49.6166666666667</v>
      </c>
      <c r="P4" s="12" t="n">
        <f aca="false">IF(COUNT(F4,I4,L4)=0,"",MEDIAN(F4,I4,L4))</f>
        <v>53.8</v>
      </c>
      <c r="Q4" s="12" t="n">
        <f aca="false">IF(COUNT(F4,I4,L4)=0,"",MAX(F4,I4,L4))</f>
        <v>76.05</v>
      </c>
      <c r="R4" s="12" t="s">
        <v>96</v>
      </c>
      <c r="S4" s="12" t="str">
        <f aca="false">IF(ISNUMBER(R4),ROUNDDOWN(R4*0.96,2),"—")</f>
        <v>—</v>
      </c>
      <c r="T4" s="14" t="n">
        <f aca="false">IF(COUNT(F4,I4,L4)=0,"Sem cotação",ROUND(P4,2))</f>
        <v>53.8</v>
      </c>
      <c r="U4" s="15" t="str">
        <f aca="false">IF(AND(ISNUMBER(R4),ISNUMBER(T4)),T4/R4-1,"—")</f>
        <v>—</v>
      </c>
      <c r="V4" s="12" t="n">
        <f aca="false">IF(ISNUMBER(T4),D4*T4,0)</f>
        <v>48689</v>
      </c>
    </row>
    <row r="5" customFormat="false" ht="46.25" hidden="false" customHeight="false" outlineLevel="0" collapsed="false">
      <c r="A5" s="10" t="n">
        <v>3</v>
      </c>
      <c r="B5" s="10" t="s">
        <v>136</v>
      </c>
      <c r="C5" s="10" t="s">
        <v>133</v>
      </c>
      <c r="D5" s="11" t="n">
        <v>905</v>
      </c>
      <c r="E5" s="10" t="s">
        <v>137</v>
      </c>
      <c r="F5" s="12" t="n">
        <v>53.8</v>
      </c>
      <c r="G5" s="13" t="s">
        <v>40</v>
      </c>
      <c r="H5" s="10" t="s">
        <v>128</v>
      </c>
      <c r="I5" s="12" t="n">
        <v>76.05</v>
      </c>
      <c r="J5" s="13" t="s">
        <v>129</v>
      </c>
      <c r="K5" s="10" t="s">
        <v>138</v>
      </c>
      <c r="L5" s="12" t="n">
        <v>19</v>
      </c>
      <c r="M5" s="13" t="s">
        <v>135</v>
      </c>
      <c r="N5" s="12" t="n">
        <f aca="false">IF(COUNT(F5,I5,L5)=0,"",MIN(F5,I5,L5))</f>
        <v>19</v>
      </c>
      <c r="O5" s="12" t="n">
        <f aca="false">IF(COUNT(F5,I5,L5)=0,"",AVERAGE(F5,I5,L5))</f>
        <v>49.6166666666667</v>
      </c>
      <c r="P5" s="12" t="n">
        <f aca="false">IF(COUNT(F5,I5,L5)=0,"",MEDIAN(F5,I5,L5))</f>
        <v>53.8</v>
      </c>
      <c r="Q5" s="12" t="n">
        <f aca="false">IF(COUNT(F5,I5,L5)=0,"",MAX(F5,I5,L5))</f>
        <v>76.05</v>
      </c>
      <c r="R5" s="12" t="s">
        <v>96</v>
      </c>
      <c r="S5" s="12" t="str">
        <f aca="false">IF(ISNUMBER(R5),ROUNDDOWN(R5*0.96,2),"—")</f>
        <v>—</v>
      </c>
      <c r="T5" s="14" t="n">
        <f aca="false">IF(COUNT(F5,I5,L5)=0,"Sem cotação",ROUND(P5,2))</f>
        <v>53.8</v>
      </c>
      <c r="U5" s="15" t="str">
        <f aca="false">IF(AND(ISNUMBER(R5),ISNUMBER(T5)),T5/R5-1,"—")</f>
        <v>—</v>
      </c>
      <c r="V5" s="12" t="n">
        <f aca="false">IF(ISNUMBER(T5),D5*T5,0)</f>
        <v>48689</v>
      </c>
    </row>
    <row r="6" customFormat="false" ht="35.05" hidden="false" customHeight="false" outlineLevel="0" collapsed="false">
      <c r="A6" s="10" t="n">
        <v>4</v>
      </c>
      <c r="B6" s="10" t="s">
        <v>139</v>
      </c>
      <c r="C6" s="10" t="s">
        <v>133</v>
      </c>
      <c r="D6" s="11" t="n">
        <v>905</v>
      </c>
      <c r="E6" s="10" t="s">
        <v>127</v>
      </c>
      <c r="F6" s="12" t="n">
        <v>69.5</v>
      </c>
      <c r="G6" s="13" t="s">
        <v>40</v>
      </c>
      <c r="H6" s="10" t="s">
        <v>128</v>
      </c>
      <c r="I6" s="12" t="n">
        <v>98.27</v>
      </c>
      <c r="J6" s="13" t="s">
        <v>129</v>
      </c>
      <c r="K6" s="10" t="s">
        <v>140</v>
      </c>
      <c r="L6" s="12" t="n">
        <v>83.97</v>
      </c>
      <c r="M6" s="13" t="s">
        <v>141</v>
      </c>
      <c r="N6" s="12" t="n">
        <f aca="false">IF(COUNT(F6,I6,L6)=0,"",MIN(F6,I6,L6))</f>
        <v>69.5</v>
      </c>
      <c r="O6" s="12" t="n">
        <f aca="false">IF(COUNT(F6,I6,L6)=0,"",AVERAGE(F6,I6,L6))</f>
        <v>83.9133333333333</v>
      </c>
      <c r="P6" s="12" t="n">
        <f aca="false">IF(COUNT(F6,I6,L6)=0,"",MEDIAN(F6,I6,L6))</f>
        <v>83.97</v>
      </c>
      <c r="Q6" s="12" t="n">
        <f aca="false">IF(COUNT(F6,I6,L6)=0,"",MAX(F6,I6,L6))</f>
        <v>98.27</v>
      </c>
      <c r="R6" s="12" t="s">
        <v>96</v>
      </c>
      <c r="S6" s="12" t="str">
        <f aca="false">IF(ISNUMBER(R6),ROUNDDOWN(R6*0.96,2),"—")</f>
        <v>—</v>
      </c>
      <c r="T6" s="14" t="n">
        <f aca="false">IF(COUNT(F6,I6,L6)=0,"Sem cotação",ROUND(P6,2))</f>
        <v>83.97</v>
      </c>
      <c r="U6" s="15" t="str">
        <f aca="false">IF(AND(ISNUMBER(R6),ISNUMBER(T6)),T6/R6-1,"—")</f>
        <v>—</v>
      </c>
      <c r="V6" s="12" t="n">
        <f aca="false">IF(ISNUMBER(T6),D6*T6,0)</f>
        <v>75992.85</v>
      </c>
    </row>
    <row r="7" customFormat="false" ht="35.05" hidden="false" customHeight="false" outlineLevel="0" collapsed="false">
      <c r="A7" s="10" t="n">
        <v>5</v>
      </c>
      <c r="B7" s="10" t="s">
        <v>142</v>
      </c>
      <c r="C7" s="10" t="s">
        <v>133</v>
      </c>
      <c r="D7" s="11" t="n">
        <v>1376</v>
      </c>
      <c r="E7" s="10" t="s">
        <v>127</v>
      </c>
      <c r="F7" s="12" t="n">
        <v>82.2</v>
      </c>
      <c r="G7" s="13" t="s">
        <v>40</v>
      </c>
      <c r="H7" s="10" t="s">
        <v>128</v>
      </c>
      <c r="I7" s="12" t="n">
        <v>116.21</v>
      </c>
      <c r="J7" s="13" t="s">
        <v>129</v>
      </c>
      <c r="K7" s="10" t="s">
        <v>143</v>
      </c>
      <c r="L7" s="12"/>
      <c r="M7" s="10"/>
      <c r="N7" s="12" t="n">
        <f aca="false">IF(COUNT(F7,I7,L7)=0,"",MIN(F7,I7,L7))</f>
        <v>82.2</v>
      </c>
      <c r="O7" s="12" t="n">
        <f aca="false">IF(COUNT(F7,I7,L7)=0,"",AVERAGE(F7,I7,L7))</f>
        <v>99.205</v>
      </c>
      <c r="P7" s="12" t="n">
        <f aca="false">IF(COUNT(F7,I7,L7)=0,"",MEDIAN(F7,I7,L7))</f>
        <v>99.205</v>
      </c>
      <c r="Q7" s="12" t="n">
        <f aca="false">IF(COUNT(F7,I7,L7)=0,"",MAX(F7,I7,L7))</f>
        <v>116.21</v>
      </c>
      <c r="R7" s="12" t="s">
        <v>96</v>
      </c>
      <c r="S7" s="12" t="str">
        <f aca="false">IF(ISNUMBER(R7),ROUNDDOWN(R7*0.96,2),"—")</f>
        <v>—</v>
      </c>
      <c r="T7" s="14" t="n">
        <f aca="false">IF(COUNT(F7,I7,L7)=0,"Sem cotação",ROUND(P7,2))</f>
        <v>99.21</v>
      </c>
      <c r="U7" s="15" t="str">
        <f aca="false">IF(AND(ISNUMBER(R7),ISNUMBER(T7)),T7/R7-1,"—")</f>
        <v>—</v>
      </c>
      <c r="V7" s="12" t="n">
        <f aca="false">IF(ISNUMBER(T7),D7*T7,0)</f>
        <v>136512.96</v>
      </c>
    </row>
    <row r="8" customFormat="false" ht="35.05" hidden="false" customHeight="false" outlineLevel="0" collapsed="false">
      <c r="A8" s="10" t="n">
        <v>6</v>
      </c>
      <c r="B8" s="10" t="s">
        <v>144</v>
      </c>
      <c r="C8" s="10" t="s">
        <v>133</v>
      </c>
      <c r="D8" s="11" t="n">
        <v>1282</v>
      </c>
      <c r="E8" s="10" t="s">
        <v>127</v>
      </c>
      <c r="F8" s="12" t="n">
        <v>80.7</v>
      </c>
      <c r="G8" s="13" t="s">
        <v>40</v>
      </c>
      <c r="H8" s="10" t="s">
        <v>128</v>
      </c>
      <c r="I8" s="12" t="n">
        <v>109.36</v>
      </c>
      <c r="J8" s="13" t="s">
        <v>129</v>
      </c>
      <c r="K8" s="10" t="s">
        <v>145</v>
      </c>
      <c r="L8" s="12" t="n">
        <v>43.9</v>
      </c>
      <c r="M8" s="13" t="s">
        <v>146</v>
      </c>
      <c r="N8" s="12" t="n">
        <f aca="false">IF(COUNT(F8,I8,L8)=0,"",MIN(F8,I8,L8))</f>
        <v>43.9</v>
      </c>
      <c r="O8" s="12" t="n">
        <f aca="false">IF(COUNT(F8,I8,L8)=0,"",AVERAGE(F8,I8,L8))</f>
        <v>77.9866666666667</v>
      </c>
      <c r="P8" s="12" t="n">
        <f aca="false">IF(COUNT(F8,I8,L8)=0,"",MEDIAN(F8,I8,L8))</f>
        <v>80.7</v>
      </c>
      <c r="Q8" s="12" t="n">
        <f aca="false">IF(COUNT(F8,I8,L8)=0,"",MAX(F8,I8,L8))</f>
        <v>109.36</v>
      </c>
      <c r="R8" s="12" t="s">
        <v>96</v>
      </c>
      <c r="S8" s="12" t="str">
        <f aca="false">IF(ISNUMBER(R8),ROUNDDOWN(R8*0.96,2),"—")</f>
        <v>—</v>
      </c>
      <c r="T8" s="14" t="n">
        <f aca="false">IF(COUNT(F8,I8,L8)=0,"Sem cotação",ROUND(P8,2))</f>
        <v>80.7</v>
      </c>
      <c r="U8" s="15" t="str">
        <f aca="false">IF(AND(ISNUMBER(R8),ISNUMBER(T8)),T8/R8-1,"—")</f>
        <v>—</v>
      </c>
      <c r="V8" s="12" t="n">
        <f aca="false">IF(ISNUMBER(T8),D8*T8,0)</f>
        <v>103457.4</v>
      </c>
    </row>
    <row r="9" customFormat="false" ht="35.05" hidden="false" customHeight="false" outlineLevel="0" collapsed="false">
      <c r="A9" s="10" t="n">
        <v>7</v>
      </c>
      <c r="B9" s="10" t="s">
        <v>147</v>
      </c>
      <c r="C9" s="10" t="s">
        <v>133</v>
      </c>
      <c r="D9" s="11" t="n">
        <v>14903</v>
      </c>
      <c r="E9" s="10" t="s">
        <v>127</v>
      </c>
      <c r="F9" s="12" t="n">
        <v>66.5</v>
      </c>
      <c r="G9" s="13" t="s">
        <v>40</v>
      </c>
      <c r="H9" s="10" t="s">
        <v>128</v>
      </c>
      <c r="I9" s="12" t="n">
        <v>90.1</v>
      </c>
      <c r="J9" s="13" t="s">
        <v>129</v>
      </c>
      <c r="K9" s="10" t="s">
        <v>148</v>
      </c>
      <c r="L9" s="12" t="n">
        <v>54.44</v>
      </c>
      <c r="M9" s="13" t="s">
        <v>146</v>
      </c>
      <c r="N9" s="12" t="n">
        <f aca="false">IF(COUNT(F9,I9,L9)=0,"",MIN(F9,I9,L9))</f>
        <v>54.44</v>
      </c>
      <c r="O9" s="12" t="n">
        <f aca="false">IF(COUNT(F9,I9,L9)=0,"",AVERAGE(F9,I9,L9))</f>
        <v>70.3466666666667</v>
      </c>
      <c r="P9" s="12" t="n">
        <f aca="false">IF(COUNT(F9,I9,L9)=0,"",MEDIAN(F9,I9,L9))</f>
        <v>66.5</v>
      </c>
      <c r="Q9" s="12" t="n">
        <f aca="false">IF(COUNT(F9,I9,L9)=0,"",MAX(F9,I9,L9))</f>
        <v>90.1</v>
      </c>
      <c r="R9" s="12" t="s">
        <v>96</v>
      </c>
      <c r="S9" s="12" t="str">
        <f aca="false">IF(ISNUMBER(R9),ROUNDDOWN(R9*0.96,2),"—")</f>
        <v>—</v>
      </c>
      <c r="T9" s="14" t="n">
        <f aca="false">IF(COUNT(F9,I9,L9)=0,"Sem cotação",ROUND(P9,2))</f>
        <v>66.5</v>
      </c>
      <c r="U9" s="15" t="str">
        <f aca="false">IF(AND(ISNUMBER(R9),ISNUMBER(T9)),T9/R9-1,"—")</f>
        <v>—</v>
      </c>
      <c r="V9" s="12" t="n">
        <f aca="false">IF(ISNUMBER(T9),D9*T9,0)</f>
        <v>991049.5</v>
      </c>
    </row>
    <row r="10" customFormat="false" ht="35.05" hidden="false" customHeight="false" outlineLevel="0" collapsed="false">
      <c r="A10" s="10" t="n">
        <v>8</v>
      </c>
      <c r="B10" s="10" t="s">
        <v>149</v>
      </c>
      <c r="C10" s="10" t="s">
        <v>133</v>
      </c>
      <c r="D10" s="11" t="n">
        <v>4471</v>
      </c>
      <c r="E10" s="10" t="s">
        <v>127</v>
      </c>
      <c r="F10" s="12" t="n">
        <v>69.5</v>
      </c>
      <c r="G10" s="13" t="s">
        <v>40</v>
      </c>
      <c r="H10" s="10" t="s">
        <v>150</v>
      </c>
      <c r="I10" s="12" t="n">
        <v>90</v>
      </c>
      <c r="J10" s="13" t="s">
        <v>151</v>
      </c>
      <c r="K10" s="10" t="s">
        <v>140</v>
      </c>
      <c r="L10" s="12" t="n">
        <v>82.42</v>
      </c>
      <c r="M10" s="13" t="s">
        <v>141</v>
      </c>
      <c r="N10" s="12" t="n">
        <f aca="false">IF(COUNT(F10,I10,L10)=0,"",MIN(F10,I10,L10))</f>
        <v>69.5</v>
      </c>
      <c r="O10" s="12" t="n">
        <f aca="false">IF(COUNT(F10,I10,L10)=0,"",AVERAGE(F10,I10,L10))</f>
        <v>80.64</v>
      </c>
      <c r="P10" s="12" t="n">
        <f aca="false">IF(COUNT(F10,I10,L10)=0,"",MEDIAN(F10,I10,L10))</f>
        <v>82.42</v>
      </c>
      <c r="Q10" s="12" t="n">
        <f aca="false">IF(COUNT(F10,I10,L10)=0,"",MAX(F10,I10,L10))</f>
        <v>90</v>
      </c>
      <c r="R10" s="12" t="s">
        <v>96</v>
      </c>
      <c r="S10" s="12" t="str">
        <f aca="false">IF(ISNUMBER(R10),ROUNDDOWN(R10*0.96,2),"—")</f>
        <v>—</v>
      </c>
      <c r="T10" s="14" t="n">
        <f aca="false">IF(COUNT(F10,I10,L10)=0,"Sem cotação",ROUND(P10,2))</f>
        <v>82.42</v>
      </c>
      <c r="U10" s="15" t="str">
        <f aca="false">IF(AND(ISNUMBER(R10),ISNUMBER(T10)),T10/R10-1,"—")</f>
        <v>—</v>
      </c>
      <c r="V10" s="12" t="n">
        <f aca="false">IF(ISNUMBER(T10),D10*T10,0)</f>
        <v>368499.82</v>
      </c>
    </row>
    <row r="11" customFormat="false" ht="35.05" hidden="false" customHeight="false" outlineLevel="0" collapsed="false">
      <c r="A11" s="10" t="n">
        <v>9</v>
      </c>
      <c r="B11" s="10" t="s">
        <v>152</v>
      </c>
      <c r="C11" s="10" t="s">
        <v>133</v>
      </c>
      <c r="D11" s="11" t="n">
        <v>905</v>
      </c>
      <c r="E11" s="10" t="s">
        <v>127</v>
      </c>
      <c r="F11" s="12" t="n">
        <v>53.8</v>
      </c>
      <c r="G11" s="13" t="s">
        <v>40</v>
      </c>
      <c r="H11" s="10" t="s">
        <v>128</v>
      </c>
      <c r="I11" s="12" t="n">
        <v>72.91</v>
      </c>
      <c r="J11" s="13" t="s">
        <v>129</v>
      </c>
      <c r="K11" s="10" t="s">
        <v>150</v>
      </c>
      <c r="L11" s="12" t="n">
        <v>73</v>
      </c>
      <c r="M11" s="13" t="s">
        <v>151</v>
      </c>
      <c r="N11" s="12" t="n">
        <f aca="false">IF(COUNT(F11,I11,L11)=0,"",MIN(F11,I11,L11))</f>
        <v>53.8</v>
      </c>
      <c r="O11" s="12" t="n">
        <f aca="false">IF(COUNT(F11,I11,L11)=0,"",AVERAGE(F11,I11,L11))</f>
        <v>66.57</v>
      </c>
      <c r="P11" s="12" t="n">
        <f aca="false">IF(COUNT(F11,I11,L11)=0,"",MEDIAN(F11,I11,L11))</f>
        <v>72.91</v>
      </c>
      <c r="Q11" s="12" t="n">
        <f aca="false">IF(COUNT(F11,I11,L11)=0,"",MAX(F11,I11,L11))</f>
        <v>73</v>
      </c>
      <c r="R11" s="12" t="s">
        <v>96</v>
      </c>
      <c r="S11" s="12" t="str">
        <f aca="false">IF(ISNUMBER(R11),ROUNDDOWN(R11*0.96,2),"—")</f>
        <v>—</v>
      </c>
      <c r="T11" s="14" t="n">
        <f aca="false">IF(COUNT(F11,I11,L11)=0,"Sem cotação",ROUND(P11,2))</f>
        <v>72.91</v>
      </c>
      <c r="U11" s="15" t="str">
        <f aca="false">IF(AND(ISNUMBER(R11),ISNUMBER(T11)),T11/R11-1,"—")</f>
        <v>—</v>
      </c>
      <c r="V11" s="12" t="n">
        <f aca="false">IF(ISNUMBER(T11),D11*T11,0)</f>
        <v>65983.55</v>
      </c>
    </row>
    <row r="12" customFormat="false" ht="35.05" hidden="false" customHeight="false" outlineLevel="0" collapsed="false">
      <c r="A12" s="10" t="n">
        <v>10</v>
      </c>
      <c r="B12" s="10" t="s">
        <v>153</v>
      </c>
      <c r="C12" s="10" t="s">
        <v>133</v>
      </c>
      <c r="D12" s="11" t="n">
        <v>905</v>
      </c>
      <c r="E12" s="10" t="s">
        <v>127</v>
      </c>
      <c r="F12" s="12" t="n">
        <v>71</v>
      </c>
      <c r="G12" s="13" t="s">
        <v>40</v>
      </c>
      <c r="H12" s="10" t="s">
        <v>128</v>
      </c>
      <c r="I12" s="12" t="n">
        <v>96.28</v>
      </c>
      <c r="J12" s="13" t="s">
        <v>129</v>
      </c>
      <c r="K12" s="10" t="s">
        <v>154</v>
      </c>
      <c r="L12" s="12" t="n">
        <v>48</v>
      </c>
      <c r="M12" s="13" t="s">
        <v>155</v>
      </c>
      <c r="N12" s="12" t="n">
        <f aca="false">IF(COUNT(F12,I12,L12)=0,"",MIN(F12,I12,L12))</f>
        <v>48</v>
      </c>
      <c r="O12" s="12" t="n">
        <f aca="false">IF(COUNT(F12,I12,L12)=0,"",AVERAGE(F12,I12,L12))</f>
        <v>71.76</v>
      </c>
      <c r="P12" s="12" t="n">
        <f aca="false">IF(COUNT(F12,I12,L12)=0,"",MEDIAN(F12,I12,L12))</f>
        <v>71</v>
      </c>
      <c r="Q12" s="12" t="n">
        <f aca="false">IF(COUNT(F12,I12,L12)=0,"",MAX(F12,I12,L12))</f>
        <v>96.28</v>
      </c>
      <c r="R12" s="12" t="s">
        <v>96</v>
      </c>
      <c r="S12" s="12" t="str">
        <f aca="false">IF(ISNUMBER(R12),ROUNDDOWN(R12*0.96,2),"—")</f>
        <v>—</v>
      </c>
      <c r="T12" s="14" t="n">
        <f aca="false">IF(COUNT(F12,I12,L12)=0,"Sem cotação",ROUND(P12,2))</f>
        <v>71</v>
      </c>
      <c r="U12" s="15" t="str">
        <f aca="false">IF(AND(ISNUMBER(R12),ISNUMBER(T12)),T12/R12-1,"—")</f>
        <v>—</v>
      </c>
      <c r="V12" s="12" t="n">
        <f aca="false">IF(ISNUMBER(T12),D12*T12,0)</f>
        <v>64255</v>
      </c>
    </row>
    <row r="13" customFormat="false" ht="35.05" hidden="false" customHeight="false" outlineLevel="0" collapsed="false">
      <c r="A13" s="10" t="n">
        <v>11</v>
      </c>
      <c r="B13" s="10" t="s">
        <v>156</v>
      </c>
      <c r="C13" s="10" t="s">
        <v>133</v>
      </c>
      <c r="D13" s="11" t="n">
        <v>905</v>
      </c>
      <c r="E13" s="10" t="s">
        <v>127</v>
      </c>
      <c r="F13" s="12" t="n">
        <v>101.25</v>
      </c>
      <c r="G13" s="13" t="s">
        <v>40</v>
      </c>
      <c r="H13" s="10" t="s">
        <v>150</v>
      </c>
      <c r="I13" s="12" t="n">
        <v>104.5</v>
      </c>
      <c r="J13" s="13" t="s">
        <v>151</v>
      </c>
      <c r="K13" s="10" t="s">
        <v>157</v>
      </c>
      <c r="L13" s="12" t="n">
        <v>167</v>
      </c>
      <c r="M13" s="13" t="s">
        <v>155</v>
      </c>
      <c r="N13" s="12" t="n">
        <f aca="false">IF(COUNT(F13,I13,L13)=0,"",MIN(F13,I13,L13))</f>
        <v>101.25</v>
      </c>
      <c r="O13" s="12" t="n">
        <f aca="false">IF(COUNT(F13,I13,L13)=0,"",AVERAGE(F13,I13,L13))</f>
        <v>124.25</v>
      </c>
      <c r="P13" s="12" t="n">
        <f aca="false">IF(COUNT(F13,I13,L13)=0,"",MEDIAN(F13,I13,L13))</f>
        <v>104.5</v>
      </c>
      <c r="Q13" s="12" t="n">
        <f aca="false">IF(COUNT(F13,I13,L13)=0,"",MAX(F13,I13,L13))</f>
        <v>167</v>
      </c>
      <c r="R13" s="12" t="s">
        <v>96</v>
      </c>
      <c r="S13" s="12" t="str">
        <f aca="false">IF(ISNUMBER(R13),ROUNDDOWN(R13*0.96,2),"—")</f>
        <v>—</v>
      </c>
      <c r="T13" s="14" t="n">
        <f aca="false">IF(COUNT(F13,I13,L13)=0,"Sem cotação",ROUND(P13,2))</f>
        <v>104.5</v>
      </c>
      <c r="U13" s="15" t="str">
        <f aca="false">IF(AND(ISNUMBER(R13),ISNUMBER(T13)),T13/R13-1,"—")</f>
        <v>—</v>
      </c>
      <c r="V13" s="12" t="n">
        <f aca="false">IF(ISNUMBER(T13),D13*T13,0)</f>
        <v>94572.5</v>
      </c>
    </row>
    <row r="14" customFormat="false" ht="35.05" hidden="false" customHeight="false" outlineLevel="0" collapsed="false">
      <c r="A14" s="10" t="n">
        <v>12</v>
      </c>
      <c r="B14" s="10" t="s">
        <v>158</v>
      </c>
      <c r="C14" s="10" t="s">
        <v>133</v>
      </c>
      <c r="D14" s="11" t="n">
        <v>5083</v>
      </c>
      <c r="E14" s="10" t="s">
        <v>127</v>
      </c>
      <c r="F14" s="12" t="n">
        <v>108.75</v>
      </c>
      <c r="G14" s="13" t="s">
        <v>40</v>
      </c>
      <c r="H14" s="10" t="s">
        <v>150</v>
      </c>
      <c r="I14" s="12" t="n">
        <v>166</v>
      </c>
      <c r="J14" s="13" t="s">
        <v>151</v>
      </c>
      <c r="K14" s="10" t="s">
        <v>154</v>
      </c>
      <c r="L14" s="12" t="n">
        <v>61</v>
      </c>
      <c r="M14" s="13" t="s">
        <v>155</v>
      </c>
      <c r="N14" s="12" t="n">
        <f aca="false">IF(COUNT(F14,I14,L14)=0,"",MIN(F14,I14,L14))</f>
        <v>61</v>
      </c>
      <c r="O14" s="12" t="n">
        <f aca="false">IF(COUNT(F14,I14,L14)=0,"",AVERAGE(F14,I14,L14))</f>
        <v>111.916666666667</v>
      </c>
      <c r="P14" s="12" t="n">
        <f aca="false">IF(COUNT(F14,I14,L14)=0,"",MEDIAN(F14,I14,L14))</f>
        <v>108.75</v>
      </c>
      <c r="Q14" s="12" t="n">
        <f aca="false">IF(COUNT(F14,I14,L14)=0,"",MAX(F14,I14,L14))</f>
        <v>166</v>
      </c>
      <c r="R14" s="12" t="s">
        <v>96</v>
      </c>
      <c r="S14" s="12" t="str">
        <f aca="false">IF(ISNUMBER(R14),ROUNDDOWN(R14*0.96,2),"—")</f>
        <v>—</v>
      </c>
      <c r="T14" s="14" t="n">
        <f aca="false">IF(COUNT(F14,I14,L14)=0,"Sem cotação",ROUND(P14,2))</f>
        <v>108.75</v>
      </c>
      <c r="U14" s="15" t="str">
        <f aca="false">IF(AND(ISNUMBER(R14),ISNUMBER(T14)),T14/R14-1,"—")</f>
        <v>—</v>
      </c>
      <c r="V14" s="12" t="n">
        <f aca="false">IF(ISNUMBER(T14),D14*T14,0)</f>
        <v>552776.25</v>
      </c>
    </row>
    <row r="15" customFormat="false" ht="46.25" hidden="false" customHeight="false" outlineLevel="0" collapsed="false">
      <c r="A15" s="10" t="n">
        <v>13</v>
      </c>
      <c r="B15" s="10" t="s">
        <v>159</v>
      </c>
      <c r="C15" s="10" t="s">
        <v>133</v>
      </c>
      <c r="D15" s="11" t="n">
        <v>905</v>
      </c>
      <c r="E15" s="10" t="s">
        <v>160</v>
      </c>
      <c r="F15" s="12" t="n">
        <v>66.5</v>
      </c>
      <c r="G15" s="13" t="s">
        <v>40</v>
      </c>
      <c r="H15" s="10" t="s">
        <v>143</v>
      </c>
      <c r="I15" s="12"/>
      <c r="J15" s="10"/>
      <c r="K15" s="10" t="s">
        <v>143</v>
      </c>
      <c r="L15" s="12"/>
      <c r="M15" s="10"/>
      <c r="N15" s="12" t="n">
        <f aca="false">IF(COUNT(F15,I15,L15)=0,"",MIN(F15,I15,L15))</f>
        <v>66.5</v>
      </c>
      <c r="O15" s="12" t="n">
        <f aca="false">IF(COUNT(F15,I15,L15)=0,"",AVERAGE(F15,I15,L15))</f>
        <v>66.5</v>
      </c>
      <c r="P15" s="12" t="n">
        <f aca="false">IF(COUNT(F15,I15,L15)=0,"",MEDIAN(F15,I15,L15))</f>
        <v>66.5</v>
      </c>
      <c r="Q15" s="12" t="n">
        <f aca="false">IF(COUNT(F15,I15,L15)=0,"",MAX(F15,I15,L15))</f>
        <v>66.5</v>
      </c>
      <c r="R15" s="12" t="s">
        <v>96</v>
      </c>
      <c r="S15" s="12" t="str">
        <f aca="false">IF(ISNUMBER(R15),ROUNDDOWN(R15*0.96,2),"—")</f>
        <v>—</v>
      </c>
      <c r="T15" s="14" t="n">
        <f aca="false">IF(COUNT(F15,I15,L15)=0,"Sem cotação",ROUND(P15,2))</f>
        <v>66.5</v>
      </c>
      <c r="U15" s="15" t="str">
        <f aca="false">IF(AND(ISNUMBER(R15),ISNUMBER(T15)),T15/R15-1,"—")</f>
        <v>—</v>
      </c>
      <c r="V15" s="12" t="n">
        <f aca="false">IF(ISNUMBER(T15),D15*T15,0)</f>
        <v>60182.5</v>
      </c>
    </row>
    <row r="16" customFormat="false" ht="35.05" hidden="false" customHeight="false" outlineLevel="0" collapsed="false">
      <c r="A16" s="10" t="n">
        <v>14</v>
      </c>
      <c r="B16" s="10" t="s">
        <v>161</v>
      </c>
      <c r="C16" s="10" t="s">
        <v>133</v>
      </c>
      <c r="D16" s="11" t="n">
        <v>905</v>
      </c>
      <c r="E16" s="10" t="s">
        <v>127</v>
      </c>
      <c r="F16" s="12" t="n">
        <v>82.2</v>
      </c>
      <c r="G16" s="13" t="s">
        <v>40</v>
      </c>
      <c r="H16" s="10" t="s">
        <v>143</v>
      </c>
      <c r="I16" s="12"/>
      <c r="J16" s="10"/>
      <c r="K16" s="10" t="s">
        <v>143</v>
      </c>
      <c r="L16" s="12"/>
      <c r="M16" s="10"/>
      <c r="N16" s="12" t="n">
        <f aca="false">IF(COUNT(F16,I16,L16)=0,"",MIN(F16,I16,L16))</f>
        <v>82.2</v>
      </c>
      <c r="O16" s="12" t="n">
        <f aca="false">IF(COUNT(F16,I16,L16)=0,"",AVERAGE(F16,I16,L16))</f>
        <v>82.2</v>
      </c>
      <c r="P16" s="12" t="n">
        <f aca="false">IF(COUNT(F16,I16,L16)=0,"",MEDIAN(F16,I16,L16))</f>
        <v>82.2</v>
      </c>
      <c r="Q16" s="12" t="n">
        <f aca="false">IF(COUNT(F16,I16,L16)=0,"",MAX(F16,I16,L16))</f>
        <v>82.2</v>
      </c>
      <c r="R16" s="12" t="s">
        <v>96</v>
      </c>
      <c r="S16" s="12" t="str">
        <f aca="false">IF(ISNUMBER(R16),ROUNDDOWN(R16*0.96,2),"—")</f>
        <v>—</v>
      </c>
      <c r="T16" s="14" t="n">
        <f aca="false">IF(COUNT(F16,I16,L16)=0,"Sem cotação",ROUND(P16,2))</f>
        <v>82.2</v>
      </c>
      <c r="U16" s="15" t="str">
        <f aca="false">IF(AND(ISNUMBER(R16),ISNUMBER(T16)),T16/R16-1,"—")</f>
        <v>—</v>
      </c>
      <c r="V16" s="12" t="n">
        <f aca="false">IF(ISNUMBER(T16),D16*T16,0)</f>
        <v>74391</v>
      </c>
    </row>
    <row r="17" customFormat="false" ht="46.25" hidden="false" customHeight="false" outlineLevel="0" collapsed="false">
      <c r="A17" s="10" t="n">
        <v>15</v>
      </c>
      <c r="B17" s="10" t="s">
        <v>162</v>
      </c>
      <c r="C17" s="10" t="s">
        <v>133</v>
      </c>
      <c r="D17" s="11" t="n">
        <v>905</v>
      </c>
      <c r="E17" s="10" t="s">
        <v>163</v>
      </c>
      <c r="F17" s="12" t="n">
        <v>107.6</v>
      </c>
      <c r="G17" s="13" t="s">
        <v>40</v>
      </c>
      <c r="H17" s="10" t="s">
        <v>143</v>
      </c>
      <c r="I17" s="12"/>
      <c r="J17" s="10"/>
      <c r="K17" s="10" t="s">
        <v>143</v>
      </c>
      <c r="L17" s="12"/>
      <c r="M17" s="10"/>
      <c r="N17" s="12" t="n">
        <f aca="false">IF(COUNT(F17,I17,L17)=0,"",MIN(F17,I17,L17))</f>
        <v>107.6</v>
      </c>
      <c r="O17" s="12" t="n">
        <f aca="false">IF(COUNT(F17,I17,L17)=0,"",AVERAGE(F17,I17,L17))</f>
        <v>107.6</v>
      </c>
      <c r="P17" s="12" t="n">
        <f aca="false">IF(COUNT(F17,I17,L17)=0,"",MEDIAN(F17,I17,L17))</f>
        <v>107.6</v>
      </c>
      <c r="Q17" s="12" t="n">
        <f aca="false">IF(COUNT(F17,I17,L17)=0,"",MAX(F17,I17,L17))</f>
        <v>107.6</v>
      </c>
      <c r="R17" s="12" t="s">
        <v>96</v>
      </c>
      <c r="S17" s="12" t="str">
        <f aca="false">IF(ISNUMBER(R17),ROUNDDOWN(R17*0.96,2),"—")</f>
        <v>—</v>
      </c>
      <c r="T17" s="14" t="n">
        <f aca="false">IF(COUNT(F17,I17,L17)=0,"Sem cotação",ROUND(P17,2))</f>
        <v>107.6</v>
      </c>
      <c r="U17" s="15" t="str">
        <f aca="false">IF(AND(ISNUMBER(R17),ISNUMBER(T17)),T17/R17-1,"—")</f>
        <v>—</v>
      </c>
      <c r="V17" s="12" t="n">
        <f aca="false">IF(ISNUMBER(T17),D17*T17,0)</f>
        <v>97378</v>
      </c>
    </row>
    <row r="18" customFormat="false" ht="35.05" hidden="false" customHeight="false" outlineLevel="0" collapsed="false">
      <c r="A18" s="10" t="n">
        <v>16</v>
      </c>
      <c r="B18" s="10" t="s">
        <v>164</v>
      </c>
      <c r="C18" s="10" t="s">
        <v>133</v>
      </c>
      <c r="D18" s="11" t="n">
        <v>905</v>
      </c>
      <c r="E18" s="10" t="s">
        <v>127</v>
      </c>
      <c r="F18" s="12" t="n">
        <v>107.6</v>
      </c>
      <c r="G18" s="13" t="s">
        <v>40</v>
      </c>
      <c r="H18" s="10" t="s">
        <v>143</v>
      </c>
      <c r="I18" s="12"/>
      <c r="J18" s="10"/>
      <c r="K18" s="10" t="s">
        <v>143</v>
      </c>
      <c r="L18" s="12"/>
      <c r="M18" s="10"/>
      <c r="N18" s="12" t="n">
        <f aca="false">IF(COUNT(F18,I18,L18)=0,"",MIN(F18,I18,L18))</f>
        <v>107.6</v>
      </c>
      <c r="O18" s="12" t="n">
        <f aca="false">IF(COUNT(F18,I18,L18)=0,"",AVERAGE(F18,I18,L18))</f>
        <v>107.6</v>
      </c>
      <c r="P18" s="12" t="n">
        <f aca="false">IF(COUNT(F18,I18,L18)=0,"",MEDIAN(F18,I18,L18))</f>
        <v>107.6</v>
      </c>
      <c r="Q18" s="12" t="n">
        <f aca="false">IF(COUNT(F18,I18,L18)=0,"",MAX(F18,I18,L18))</f>
        <v>107.6</v>
      </c>
      <c r="R18" s="12" t="s">
        <v>96</v>
      </c>
      <c r="S18" s="12" t="str">
        <f aca="false">IF(ISNUMBER(R18),ROUNDDOWN(R18*0.96,2),"—")</f>
        <v>—</v>
      </c>
      <c r="T18" s="14" t="n">
        <f aca="false">IF(COUNT(F18,I18,L18)=0,"Sem cotação",ROUND(P18,2))</f>
        <v>107.6</v>
      </c>
      <c r="U18" s="15" t="str">
        <f aca="false">IF(AND(ISNUMBER(R18),ISNUMBER(T18)),T18/R18-1,"—")</f>
        <v>—</v>
      </c>
      <c r="V18" s="12" t="n">
        <f aca="false">IF(ISNUMBER(T18),D18*T18,0)</f>
        <v>97378</v>
      </c>
    </row>
    <row r="19" customFormat="false" ht="35.05" hidden="false" customHeight="false" outlineLevel="0" collapsed="false">
      <c r="A19" s="10" t="n">
        <v>17</v>
      </c>
      <c r="B19" s="10" t="s">
        <v>165</v>
      </c>
      <c r="C19" s="10" t="s">
        <v>133</v>
      </c>
      <c r="D19" s="11" t="n">
        <v>905</v>
      </c>
      <c r="E19" s="10" t="s">
        <v>127</v>
      </c>
      <c r="F19" s="12" t="n">
        <v>66.5</v>
      </c>
      <c r="G19" s="13" t="s">
        <v>40</v>
      </c>
      <c r="H19" s="10" t="s">
        <v>143</v>
      </c>
      <c r="I19" s="12"/>
      <c r="J19" s="10"/>
      <c r="K19" s="10" t="s">
        <v>143</v>
      </c>
      <c r="L19" s="12"/>
      <c r="M19" s="10"/>
      <c r="N19" s="12" t="n">
        <f aca="false">IF(COUNT(F19,I19,L19)=0,"",MIN(F19,I19,L19))</f>
        <v>66.5</v>
      </c>
      <c r="O19" s="12" t="n">
        <f aca="false">IF(COUNT(F19,I19,L19)=0,"",AVERAGE(F19,I19,L19))</f>
        <v>66.5</v>
      </c>
      <c r="P19" s="12" t="n">
        <f aca="false">IF(COUNT(F19,I19,L19)=0,"",MEDIAN(F19,I19,L19))</f>
        <v>66.5</v>
      </c>
      <c r="Q19" s="12" t="n">
        <f aca="false">IF(COUNT(F19,I19,L19)=0,"",MAX(F19,I19,L19))</f>
        <v>66.5</v>
      </c>
      <c r="R19" s="12" t="s">
        <v>96</v>
      </c>
      <c r="S19" s="12" t="str">
        <f aca="false">IF(ISNUMBER(R19),ROUNDDOWN(R19*0.96,2),"—")</f>
        <v>—</v>
      </c>
      <c r="T19" s="14" t="n">
        <f aca="false">IF(COUNT(F19,I19,L19)=0,"Sem cotação",ROUND(P19,2))</f>
        <v>66.5</v>
      </c>
      <c r="U19" s="15" t="str">
        <f aca="false">IF(AND(ISNUMBER(R19),ISNUMBER(T19)),T19/R19-1,"—")</f>
        <v>—</v>
      </c>
      <c r="V19" s="12" t="n">
        <f aca="false">IF(ISNUMBER(T19),D19*T19,0)</f>
        <v>60182.5</v>
      </c>
    </row>
    <row r="20" customFormat="false" ht="35.05" hidden="false" customHeight="false" outlineLevel="0" collapsed="false">
      <c r="A20" s="10" t="n">
        <v>18</v>
      </c>
      <c r="B20" s="10" t="s">
        <v>166</v>
      </c>
      <c r="C20" s="10" t="s">
        <v>133</v>
      </c>
      <c r="D20" s="11" t="n">
        <v>905</v>
      </c>
      <c r="E20" s="10" t="s">
        <v>127</v>
      </c>
      <c r="F20" s="12" t="n">
        <v>107.6</v>
      </c>
      <c r="G20" s="13" t="s">
        <v>40</v>
      </c>
      <c r="H20" s="10" t="s">
        <v>143</v>
      </c>
      <c r="I20" s="12"/>
      <c r="J20" s="10"/>
      <c r="K20" s="10" t="s">
        <v>143</v>
      </c>
      <c r="L20" s="12"/>
      <c r="M20" s="10"/>
      <c r="N20" s="12" t="n">
        <f aca="false">IF(COUNT(F20,I20,L20)=0,"",MIN(F20,I20,L20))</f>
        <v>107.6</v>
      </c>
      <c r="O20" s="12" t="n">
        <f aca="false">IF(COUNT(F20,I20,L20)=0,"",AVERAGE(F20,I20,L20))</f>
        <v>107.6</v>
      </c>
      <c r="P20" s="12" t="n">
        <f aca="false">IF(COUNT(F20,I20,L20)=0,"",MEDIAN(F20,I20,L20))</f>
        <v>107.6</v>
      </c>
      <c r="Q20" s="12" t="n">
        <f aca="false">IF(COUNT(F20,I20,L20)=0,"",MAX(F20,I20,L20))</f>
        <v>107.6</v>
      </c>
      <c r="R20" s="12" t="s">
        <v>96</v>
      </c>
      <c r="S20" s="12" t="str">
        <f aca="false">IF(ISNUMBER(R20),ROUNDDOWN(R20*0.96,2),"—")</f>
        <v>—</v>
      </c>
      <c r="T20" s="14" t="n">
        <f aca="false">IF(COUNT(F20,I20,L20)=0,"Sem cotação",ROUND(P20,2))</f>
        <v>107.6</v>
      </c>
      <c r="U20" s="15" t="str">
        <f aca="false">IF(AND(ISNUMBER(R20),ISNUMBER(T20)),T20/R20-1,"—")</f>
        <v>—</v>
      </c>
      <c r="V20" s="12" t="n">
        <f aca="false">IF(ISNUMBER(T20),D20*T20,0)</f>
        <v>97378</v>
      </c>
    </row>
    <row r="21" customFormat="false" ht="35.05" hidden="false" customHeight="false" outlineLevel="0" collapsed="false">
      <c r="A21" s="10" t="n">
        <v>19</v>
      </c>
      <c r="B21" s="10" t="s">
        <v>167</v>
      </c>
      <c r="C21" s="10" t="s">
        <v>133</v>
      </c>
      <c r="D21" s="11" t="n">
        <v>3092</v>
      </c>
      <c r="E21" s="10" t="s">
        <v>127</v>
      </c>
      <c r="F21" s="12" t="n">
        <v>124.8</v>
      </c>
      <c r="G21" s="13" t="s">
        <v>40</v>
      </c>
      <c r="H21" s="10" t="s">
        <v>130</v>
      </c>
      <c r="I21" s="12" t="n">
        <v>127.89</v>
      </c>
      <c r="J21" s="13" t="s">
        <v>131</v>
      </c>
      <c r="K21" s="10" t="s">
        <v>150</v>
      </c>
      <c r="L21" s="12" t="n">
        <v>123.5</v>
      </c>
      <c r="M21" s="13" t="s">
        <v>151</v>
      </c>
      <c r="N21" s="12" t="n">
        <f aca="false">IF(COUNT(F21,I21,L21)=0,"",MIN(F21,I21,L21))</f>
        <v>123.5</v>
      </c>
      <c r="O21" s="12" t="n">
        <f aca="false">IF(COUNT(F21,I21,L21)=0,"",AVERAGE(F21,I21,L21))</f>
        <v>125.396666666667</v>
      </c>
      <c r="P21" s="12" t="n">
        <f aca="false">IF(COUNT(F21,I21,L21)=0,"",MEDIAN(F21,I21,L21))</f>
        <v>124.8</v>
      </c>
      <c r="Q21" s="12" t="n">
        <f aca="false">IF(COUNT(F21,I21,L21)=0,"",MAX(F21,I21,L21))</f>
        <v>127.89</v>
      </c>
      <c r="R21" s="12" t="s">
        <v>96</v>
      </c>
      <c r="S21" s="12" t="str">
        <f aca="false">IF(ISNUMBER(R21),ROUNDDOWN(R21*0.96,2),"—")</f>
        <v>—</v>
      </c>
      <c r="T21" s="14" t="n">
        <f aca="false">IF(COUNT(F21,I21,L21)=0,"Sem cotação",ROUND(P21,2))</f>
        <v>124.8</v>
      </c>
      <c r="U21" s="15" t="str">
        <f aca="false">IF(AND(ISNUMBER(R21),ISNUMBER(T21)),T21/R21-1,"—")</f>
        <v>—</v>
      </c>
      <c r="V21" s="12" t="n">
        <f aca="false">IF(ISNUMBER(T21),D21*T21,0)</f>
        <v>385881.6</v>
      </c>
    </row>
    <row r="22" customFormat="false" ht="35.05" hidden="false" customHeight="false" outlineLevel="0" collapsed="false">
      <c r="A22" s="10" t="n">
        <v>20</v>
      </c>
      <c r="B22" s="10" t="s">
        <v>168</v>
      </c>
      <c r="C22" s="10" t="s">
        <v>133</v>
      </c>
      <c r="D22" s="11" t="n">
        <v>10860</v>
      </c>
      <c r="E22" s="10" t="s">
        <v>127</v>
      </c>
      <c r="F22" s="12" t="n">
        <v>68</v>
      </c>
      <c r="G22" s="13" t="s">
        <v>40</v>
      </c>
      <c r="H22" s="10" t="s">
        <v>150</v>
      </c>
      <c r="I22" s="12" t="n">
        <v>70.5</v>
      </c>
      <c r="J22" s="13" t="s">
        <v>151</v>
      </c>
      <c r="K22" s="10" t="s">
        <v>169</v>
      </c>
      <c r="L22" s="12" t="n">
        <v>53.28</v>
      </c>
      <c r="M22" s="13" t="s">
        <v>146</v>
      </c>
      <c r="N22" s="12" t="n">
        <f aca="false">IF(COUNT(F22,I22,L22)=0,"",MIN(F22,I22,L22))</f>
        <v>53.28</v>
      </c>
      <c r="O22" s="12" t="n">
        <f aca="false">IF(COUNT(F22,I22,L22)=0,"",AVERAGE(F22,I22,L22))</f>
        <v>63.9266666666667</v>
      </c>
      <c r="P22" s="12" t="n">
        <f aca="false">IF(COUNT(F22,I22,L22)=0,"",MEDIAN(F22,I22,L22))</f>
        <v>68</v>
      </c>
      <c r="Q22" s="12" t="n">
        <f aca="false">IF(COUNT(F22,I22,L22)=0,"",MAX(F22,I22,L22))</f>
        <v>70.5</v>
      </c>
      <c r="R22" s="12" t="s">
        <v>96</v>
      </c>
      <c r="S22" s="12" t="str">
        <f aca="false">IF(ISNUMBER(R22),ROUNDDOWN(R22*0.96,2),"—")</f>
        <v>—</v>
      </c>
      <c r="T22" s="14" t="n">
        <f aca="false">IF(COUNT(F22,I22,L22)=0,"Sem cotação",ROUND(P22,2))</f>
        <v>68</v>
      </c>
      <c r="U22" s="15" t="str">
        <f aca="false">IF(AND(ISNUMBER(R22),ISNUMBER(T22)),T22/R22-1,"—")</f>
        <v>—</v>
      </c>
      <c r="V22" s="12" t="n">
        <f aca="false">IF(ISNUMBER(T22),D22*T22,0)</f>
        <v>738480</v>
      </c>
    </row>
    <row r="23" customFormat="false" ht="35.05" hidden="false" customHeight="false" outlineLevel="0" collapsed="false">
      <c r="A23" s="10" t="n">
        <v>21</v>
      </c>
      <c r="B23" s="10" t="s">
        <v>170</v>
      </c>
      <c r="C23" s="10" t="s">
        <v>133</v>
      </c>
      <c r="D23" s="11" t="n">
        <v>181</v>
      </c>
      <c r="E23" s="10" t="s">
        <v>127</v>
      </c>
      <c r="F23" s="12" t="n">
        <v>104.25</v>
      </c>
      <c r="G23" s="13" t="s">
        <v>40</v>
      </c>
      <c r="H23" s="10" t="s">
        <v>150</v>
      </c>
      <c r="I23" s="12" t="n">
        <v>99</v>
      </c>
      <c r="J23" s="13" t="s">
        <v>151</v>
      </c>
      <c r="K23" s="10" t="s">
        <v>130</v>
      </c>
      <c r="L23" s="12" t="n">
        <v>98.49</v>
      </c>
      <c r="M23" s="13" t="s">
        <v>131</v>
      </c>
      <c r="N23" s="12" t="n">
        <f aca="false">IF(COUNT(F23,I23,L23)=0,"",MIN(F23,I23,L23))</f>
        <v>98.49</v>
      </c>
      <c r="O23" s="12" t="n">
        <f aca="false">IF(COUNT(F23,I23,L23)=0,"",AVERAGE(F23,I23,L23))</f>
        <v>100.58</v>
      </c>
      <c r="P23" s="12" t="n">
        <f aca="false">IF(COUNT(F23,I23,L23)=0,"",MEDIAN(F23,I23,L23))</f>
        <v>99</v>
      </c>
      <c r="Q23" s="12" t="n">
        <f aca="false">IF(COUNT(F23,I23,L23)=0,"",MAX(F23,I23,L23))</f>
        <v>104.25</v>
      </c>
      <c r="R23" s="12" t="s">
        <v>96</v>
      </c>
      <c r="S23" s="12" t="str">
        <f aca="false">IF(ISNUMBER(R23),ROUNDDOWN(R23*0.96,2),"—")</f>
        <v>—</v>
      </c>
      <c r="T23" s="14" t="n">
        <f aca="false">IF(COUNT(F23,I23,L23)=0,"Sem cotação",ROUND(P23,2))</f>
        <v>99</v>
      </c>
      <c r="U23" s="15" t="str">
        <f aca="false">IF(AND(ISNUMBER(R23),ISNUMBER(T23)),T23/R23-1,"—")</f>
        <v>—</v>
      </c>
      <c r="V23" s="12" t="n">
        <f aca="false">IF(ISNUMBER(T23),D23*T23,0)</f>
        <v>17919</v>
      </c>
    </row>
    <row r="24" customFormat="false" ht="35.05" hidden="false" customHeight="false" outlineLevel="0" collapsed="false">
      <c r="A24" s="10" t="n">
        <v>22</v>
      </c>
      <c r="B24" s="10" t="s">
        <v>171</v>
      </c>
      <c r="C24" s="10" t="s">
        <v>133</v>
      </c>
      <c r="D24" s="11" t="n">
        <v>2528</v>
      </c>
      <c r="E24" s="10" t="s">
        <v>127</v>
      </c>
      <c r="F24" s="12" t="n">
        <v>124.8</v>
      </c>
      <c r="G24" s="13" t="s">
        <v>40</v>
      </c>
      <c r="H24" s="10" t="s">
        <v>172</v>
      </c>
      <c r="I24" s="12" t="n">
        <v>99</v>
      </c>
      <c r="J24" s="13" t="s">
        <v>151</v>
      </c>
      <c r="K24" s="10" t="s">
        <v>173</v>
      </c>
      <c r="L24" s="12" t="n">
        <v>98.49</v>
      </c>
      <c r="M24" s="13" t="s">
        <v>131</v>
      </c>
      <c r="N24" s="12" t="n">
        <f aca="false">IF(COUNT(F24,I24,L24)=0,"",MIN(F24,I24,L24))</f>
        <v>98.49</v>
      </c>
      <c r="O24" s="12" t="n">
        <f aca="false">IF(COUNT(F24,I24,L24)=0,"",AVERAGE(F24,I24,L24))</f>
        <v>107.43</v>
      </c>
      <c r="P24" s="12" t="n">
        <f aca="false">IF(COUNT(F24,I24,L24)=0,"",MEDIAN(F24,I24,L24))</f>
        <v>99</v>
      </c>
      <c r="Q24" s="12" t="n">
        <f aca="false">IF(COUNT(F24,I24,L24)=0,"",MAX(F24,I24,L24))</f>
        <v>124.8</v>
      </c>
      <c r="R24" s="12" t="s">
        <v>96</v>
      </c>
      <c r="S24" s="12" t="str">
        <f aca="false">IF(ISNUMBER(R24),ROUNDDOWN(R24*0.96,2),"—")</f>
        <v>—</v>
      </c>
      <c r="T24" s="14" t="n">
        <f aca="false">IF(COUNT(F24,I24,L24)=0,"Sem cotação",ROUND(P24,2))</f>
        <v>99</v>
      </c>
      <c r="U24" s="15" t="str">
        <f aca="false">IF(AND(ISNUMBER(R24),ISNUMBER(T24)),T24/R24-1,"—")</f>
        <v>—</v>
      </c>
      <c r="V24" s="12" t="n">
        <f aca="false">IF(ISNUMBER(T24),D24*T24,0)</f>
        <v>250272</v>
      </c>
    </row>
    <row r="25" customFormat="false" ht="35.05" hidden="false" customHeight="false" outlineLevel="0" collapsed="false">
      <c r="A25" s="10" t="n">
        <v>23</v>
      </c>
      <c r="B25" s="10" t="s">
        <v>174</v>
      </c>
      <c r="C25" s="10" t="s">
        <v>133</v>
      </c>
      <c r="D25" s="11" t="n">
        <v>97</v>
      </c>
      <c r="E25" s="10" t="s">
        <v>127</v>
      </c>
      <c r="F25" s="12" t="n">
        <v>104.25</v>
      </c>
      <c r="G25" s="13" t="s">
        <v>40</v>
      </c>
      <c r="H25" s="10" t="s">
        <v>154</v>
      </c>
      <c r="I25" s="12" t="n">
        <v>113</v>
      </c>
      <c r="J25" s="13" t="s">
        <v>155</v>
      </c>
      <c r="K25" s="10" t="s">
        <v>130</v>
      </c>
      <c r="L25" s="12" t="n">
        <v>100.45</v>
      </c>
      <c r="M25" s="13" t="s">
        <v>131</v>
      </c>
      <c r="N25" s="12" t="n">
        <f aca="false">IF(COUNT(F25,I25,L25)=0,"",MIN(F25,I25,L25))</f>
        <v>100.45</v>
      </c>
      <c r="O25" s="12" t="n">
        <f aca="false">IF(COUNT(F25,I25,L25)=0,"",AVERAGE(F25,I25,L25))</f>
        <v>105.9</v>
      </c>
      <c r="P25" s="12" t="n">
        <f aca="false">IF(COUNT(F25,I25,L25)=0,"",MEDIAN(F25,I25,L25))</f>
        <v>104.25</v>
      </c>
      <c r="Q25" s="12" t="n">
        <f aca="false">IF(COUNT(F25,I25,L25)=0,"",MAX(F25,I25,L25))</f>
        <v>113</v>
      </c>
      <c r="R25" s="12" t="s">
        <v>96</v>
      </c>
      <c r="S25" s="12" t="str">
        <f aca="false">IF(ISNUMBER(R25),ROUNDDOWN(R25*0.96,2),"—")</f>
        <v>—</v>
      </c>
      <c r="T25" s="14" t="n">
        <f aca="false">IF(COUNT(F25,I25,L25)=0,"Sem cotação",ROUND(P25,2))</f>
        <v>104.25</v>
      </c>
      <c r="U25" s="15" t="str">
        <f aca="false">IF(AND(ISNUMBER(R25),ISNUMBER(T25)),T25/R25-1,"—")</f>
        <v>—</v>
      </c>
      <c r="V25" s="12" t="n">
        <f aca="false">IF(ISNUMBER(T25),D25*T25,0)</f>
        <v>10112.25</v>
      </c>
    </row>
    <row r="26" customFormat="false" ht="35.05" hidden="false" customHeight="false" outlineLevel="0" collapsed="false">
      <c r="A26" s="10" t="n">
        <v>24</v>
      </c>
      <c r="B26" s="10" t="s">
        <v>175</v>
      </c>
      <c r="C26" s="10" t="s">
        <v>133</v>
      </c>
      <c r="D26" s="11" t="n">
        <v>102</v>
      </c>
      <c r="E26" s="10" t="s">
        <v>127</v>
      </c>
      <c r="F26" s="12" t="n">
        <v>139.6</v>
      </c>
      <c r="G26" s="13" t="s">
        <v>40</v>
      </c>
      <c r="H26" s="10" t="s">
        <v>176</v>
      </c>
      <c r="I26" s="12" t="n">
        <v>152</v>
      </c>
      <c r="J26" s="13" t="s">
        <v>151</v>
      </c>
      <c r="K26" s="10" t="s">
        <v>134</v>
      </c>
      <c r="L26" s="12" t="n">
        <v>82.5</v>
      </c>
      <c r="M26" s="13" t="s">
        <v>135</v>
      </c>
      <c r="N26" s="12" t="n">
        <f aca="false">IF(COUNT(F26,I26,L26)=0,"",MIN(F26,I26,L26))</f>
        <v>82.5</v>
      </c>
      <c r="O26" s="12" t="n">
        <f aca="false">IF(COUNT(F26,I26,L26)=0,"",AVERAGE(F26,I26,L26))</f>
        <v>124.7</v>
      </c>
      <c r="P26" s="12" t="n">
        <f aca="false">IF(COUNT(F26,I26,L26)=0,"",MEDIAN(F26,I26,L26))</f>
        <v>139.6</v>
      </c>
      <c r="Q26" s="12" t="n">
        <f aca="false">IF(COUNT(F26,I26,L26)=0,"",MAX(F26,I26,L26))</f>
        <v>152</v>
      </c>
      <c r="R26" s="12" t="s">
        <v>96</v>
      </c>
      <c r="S26" s="12" t="str">
        <f aca="false">IF(ISNUMBER(R26),ROUNDDOWN(R26*0.96,2),"—")</f>
        <v>—</v>
      </c>
      <c r="T26" s="14" t="n">
        <f aca="false">IF(COUNT(F26,I26,L26)=0,"Sem cotação",ROUND(P26,2))</f>
        <v>139.6</v>
      </c>
      <c r="U26" s="15" t="str">
        <f aca="false">IF(AND(ISNUMBER(R26),ISNUMBER(T26)),T26/R26-1,"—")</f>
        <v>—</v>
      </c>
      <c r="V26" s="12" t="n">
        <f aca="false">IF(ISNUMBER(T26),D26*T26,0)</f>
        <v>14239.2</v>
      </c>
    </row>
    <row r="27" customFormat="false" ht="35.05" hidden="false" customHeight="false" outlineLevel="0" collapsed="false">
      <c r="A27" s="10" t="n">
        <v>25</v>
      </c>
      <c r="B27" s="10" t="s">
        <v>177</v>
      </c>
      <c r="C27" s="10" t="s">
        <v>133</v>
      </c>
      <c r="D27" s="11" t="n">
        <v>48</v>
      </c>
      <c r="E27" s="10" t="s">
        <v>127</v>
      </c>
      <c r="F27" s="12" t="n">
        <v>171.35</v>
      </c>
      <c r="G27" s="13" t="s">
        <v>40</v>
      </c>
      <c r="H27" s="10" t="s">
        <v>178</v>
      </c>
      <c r="I27" s="12" t="n">
        <v>166</v>
      </c>
      <c r="J27" s="13" t="s">
        <v>151</v>
      </c>
      <c r="K27" s="10" t="s">
        <v>134</v>
      </c>
      <c r="L27" s="12" t="n">
        <v>82.5</v>
      </c>
      <c r="M27" s="13" t="s">
        <v>135</v>
      </c>
      <c r="N27" s="12" t="n">
        <f aca="false">IF(COUNT(F27,I27,L27)=0,"",MIN(F27,I27,L27))</f>
        <v>82.5</v>
      </c>
      <c r="O27" s="12" t="n">
        <f aca="false">IF(COUNT(F27,I27,L27)=0,"",AVERAGE(F27,I27,L27))</f>
        <v>139.95</v>
      </c>
      <c r="P27" s="12" t="n">
        <f aca="false">IF(COUNT(F27,I27,L27)=0,"",MEDIAN(F27,I27,L27))</f>
        <v>166</v>
      </c>
      <c r="Q27" s="12" t="n">
        <f aca="false">IF(COUNT(F27,I27,L27)=0,"",MAX(F27,I27,L27))</f>
        <v>171.35</v>
      </c>
      <c r="R27" s="12" t="s">
        <v>96</v>
      </c>
      <c r="S27" s="12" t="str">
        <f aca="false">IF(ISNUMBER(R27),ROUNDDOWN(R27*0.96,2),"—")</f>
        <v>—</v>
      </c>
      <c r="T27" s="14" t="n">
        <f aca="false">IF(COUNT(F27,I27,L27)=0,"Sem cotação",ROUND(P27,2))</f>
        <v>166</v>
      </c>
      <c r="U27" s="15" t="str">
        <f aca="false">IF(AND(ISNUMBER(R27),ISNUMBER(T27)),T27/R27-1,"—")</f>
        <v>—</v>
      </c>
      <c r="V27" s="12" t="n">
        <f aca="false">IF(ISNUMBER(T27),D27*T27,0)</f>
        <v>7968</v>
      </c>
    </row>
    <row r="28" customFormat="false" ht="35.05" hidden="false" customHeight="false" outlineLevel="0" collapsed="false">
      <c r="A28" s="10" t="n">
        <v>26</v>
      </c>
      <c r="B28" s="10" t="s">
        <v>179</v>
      </c>
      <c r="C28" s="10" t="s">
        <v>133</v>
      </c>
      <c r="D28" s="11" t="n">
        <v>905</v>
      </c>
      <c r="E28" s="10" t="s">
        <v>127</v>
      </c>
      <c r="F28" s="12" t="n">
        <v>235.75</v>
      </c>
      <c r="G28" s="13" t="s">
        <v>40</v>
      </c>
      <c r="H28" s="10" t="s">
        <v>150</v>
      </c>
      <c r="I28" s="12" t="n">
        <v>200.5</v>
      </c>
      <c r="J28" s="13" t="s">
        <v>151</v>
      </c>
      <c r="K28" s="10" t="s">
        <v>143</v>
      </c>
      <c r="L28" s="12"/>
      <c r="M28" s="10"/>
      <c r="N28" s="12" t="n">
        <f aca="false">IF(COUNT(F28,I28,L28)=0,"",MIN(F28,I28,L28))</f>
        <v>200.5</v>
      </c>
      <c r="O28" s="12" t="n">
        <f aca="false">IF(COUNT(F28,I28,L28)=0,"",AVERAGE(F28,I28,L28))</f>
        <v>218.125</v>
      </c>
      <c r="P28" s="12" t="n">
        <f aca="false">IF(COUNT(F28,I28,L28)=0,"",MEDIAN(F28,I28,L28))</f>
        <v>218.125</v>
      </c>
      <c r="Q28" s="12" t="n">
        <f aca="false">IF(COUNT(F28,I28,L28)=0,"",MAX(F28,I28,L28))</f>
        <v>235.75</v>
      </c>
      <c r="R28" s="12" t="s">
        <v>96</v>
      </c>
      <c r="S28" s="12" t="str">
        <f aca="false">IF(ISNUMBER(R28),ROUNDDOWN(R28*0.96,2),"—")</f>
        <v>—</v>
      </c>
      <c r="T28" s="14" t="n">
        <f aca="false">IF(COUNT(F28,I28,L28)=0,"Sem cotação",ROUND(P28,2))</f>
        <v>218.13</v>
      </c>
      <c r="U28" s="15" t="str">
        <f aca="false">IF(AND(ISNUMBER(R28),ISNUMBER(T28)),T28/R28-1,"—")</f>
        <v>—</v>
      </c>
      <c r="V28" s="12" t="n">
        <f aca="false">IF(ISNUMBER(T28),D28*T28,0)</f>
        <v>197407.65</v>
      </c>
    </row>
    <row r="29" customFormat="false" ht="35.05" hidden="false" customHeight="false" outlineLevel="0" collapsed="false">
      <c r="A29" s="10" t="n">
        <v>27</v>
      </c>
      <c r="B29" s="10" t="s">
        <v>180</v>
      </c>
      <c r="C29" s="10" t="s">
        <v>133</v>
      </c>
      <c r="D29" s="11" t="n">
        <v>48</v>
      </c>
      <c r="E29" s="10" t="s">
        <v>127</v>
      </c>
      <c r="F29" s="12" t="n">
        <v>136</v>
      </c>
      <c r="G29" s="13" t="s">
        <v>40</v>
      </c>
      <c r="H29" s="10" t="s">
        <v>143</v>
      </c>
      <c r="I29" s="12"/>
      <c r="J29" s="10"/>
      <c r="K29" s="10" t="s">
        <v>143</v>
      </c>
      <c r="L29" s="12"/>
      <c r="M29" s="10"/>
      <c r="N29" s="12" t="n">
        <f aca="false">IF(COUNT(F29,I29,L29)=0,"",MIN(F29,I29,L29))</f>
        <v>136</v>
      </c>
      <c r="O29" s="12" t="n">
        <f aca="false">IF(COUNT(F29,I29,L29)=0,"",AVERAGE(F29,I29,L29))</f>
        <v>136</v>
      </c>
      <c r="P29" s="12" t="n">
        <f aca="false">IF(COUNT(F29,I29,L29)=0,"",MEDIAN(F29,I29,L29))</f>
        <v>136</v>
      </c>
      <c r="Q29" s="12" t="n">
        <f aca="false">IF(COUNT(F29,I29,L29)=0,"",MAX(F29,I29,L29))</f>
        <v>136</v>
      </c>
      <c r="R29" s="12" t="s">
        <v>96</v>
      </c>
      <c r="S29" s="12" t="str">
        <f aca="false">IF(ISNUMBER(R29),ROUNDDOWN(R29*0.96,2),"—")</f>
        <v>—</v>
      </c>
      <c r="T29" s="14" t="n">
        <f aca="false">IF(COUNT(F29,I29,L29)=0,"Sem cotação",ROUND(P29,2))</f>
        <v>136</v>
      </c>
      <c r="U29" s="15" t="str">
        <f aca="false">IF(AND(ISNUMBER(R29),ISNUMBER(T29)),T29/R29-1,"—")</f>
        <v>—</v>
      </c>
      <c r="V29" s="12" t="n">
        <f aca="false">IF(ISNUMBER(T29),D29*T29,0)</f>
        <v>6528</v>
      </c>
    </row>
    <row r="30" customFormat="false" ht="35.05" hidden="false" customHeight="false" outlineLevel="0" collapsed="false">
      <c r="A30" s="10" t="n">
        <v>28</v>
      </c>
      <c r="B30" s="10" t="s">
        <v>181</v>
      </c>
      <c r="C30" s="10" t="s">
        <v>133</v>
      </c>
      <c r="D30" s="11" t="n">
        <v>905</v>
      </c>
      <c r="E30" s="10" t="s">
        <v>127</v>
      </c>
      <c r="F30" s="12" t="n">
        <v>110.25</v>
      </c>
      <c r="G30" s="13" t="s">
        <v>40</v>
      </c>
      <c r="H30" s="10" t="s">
        <v>128</v>
      </c>
      <c r="I30" s="12" t="n">
        <v>149.56</v>
      </c>
      <c r="J30" s="13" t="s">
        <v>129</v>
      </c>
      <c r="K30" s="10" t="s">
        <v>182</v>
      </c>
      <c r="L30" s="12" t="n">
        <v>150</v>
      </c>
      <c r="M30" s="13" t="s">
        <v>135</v>
      </c>
      <c r="N30" s="12" t="n">
        <f aca="false">IF(COUNT(F30,I30,L30)=0,"",MIN(F30,I30,L30))</f>
        <v>110.25</v>
      </c>
      <c r="O30" s="12" t="n">
        <f aca="false">IF(COUNT(F30,I30,L30)=0,"",AVERAGE(F30,I30,L30))</f>
        <v>136.603333333333</v>
      </c>
      <c r="P30" s="12" t="n">
        <f aca="false">IF(COUNT(F30,I30,L30)=0,"",MEDIAN(F30,I30,L30))</f>
        <v>149.56</v>
      </c>
      <c r="Q30" s="12" t="n">
        <f aca="false">IF(COUNT(F30,I30,L30)=0,"",MAX(F30,I30,L30))</f>
        <v>150</v>
      </c>
      <c r="R30" s="12" t="s">
        <v>96</v>
      </c>
      <c r="S30" s="12" t="str">
        <f aca="false">IF(ISNUMBER(R30),ROUNDDOWN(R30*0.96,2),"—")</f>
        <v>—</v>
      </c>
      <c r="T30" s="14" t="n">
        <f aca="false">IF(COUNT(F30,I30,L30)=0,"Sem cotação",ROUND(P30,2))</f>
        <v>149.56</v>
      </c>
      <c r="U30" s="15" t="str">
        <f aca="false">IF(AND(ISNUMBER(R30),ISNUMBER(T30)),T30/R30-1,"—")</f>
        <v>—</v>
      </c>
      <c r="V30" s="12" t="n">
        <f aca="false">IF(ISNUMBER(T30),D30*T30,0)</f>
        <v>135351.8</v>
      </c>
    </row>
    <row r="31" customFormat="false" ht="35.05" hidden="false" customHeight="false" outlineLevel="0" collapsed="false">
      <c r="A31" s="10" t="n">
        <v>29</v>
      </c>
      <c r="B31" s="10" t="s">
        <v>183</v>
      </c>
      <c r="C31" s="10" t="s">
        <v>133</v>
      </c>
      <c r="D31" s="11" t="n">
        <v>905</v>
      </c>
      <c r="E31" s="10" t="s">
        <v>127</v>
      </c>
      <c r="F31" s="12" t="n">
        <v>53.8</v>
      </c>
      <c r="G31" s="13" t="s">
        <v>40</v>
      </c>
      <c r="H31" s="10" t="s">
        <v>128</v>
      </c>
      <c r="I31" s="12" t="n">
        <v>76.05</v>
      </c>
      <c r="J31" s="13" t="s">
        <v>129</v>
      </c>
      <c r="K31" s="10" t="s">
        <v>184</v>
      </c>
      <c r="L31" s="12" t="n">
        <v>19</v>
      </c>
      <c r="M31" s="13" t="s">
        <v>135</v>
      </c>
      <c r="N31" s="12" t="n">
        <f aca="false">IF(COUNT(F31,I31,L31)=0,"",MIN(F31,I31,L31))</f>
        <v>19</v>
      </c>
      <c r="O31" s="12" t="n">
        <f aca="false">IF(COUNT(F31,I31,L31)=0,"",AVERAGE(F31,I31,L31))</f>
        <v>49.6166666666667</v>
      </c>
      <c r="P31" s="12" t="n">
        <f aca="false">IF(COUNT(F31,I31,L31)=0,"",MEDIAN(F31,I31,L31))</f>
        <v>53.8</v>
      </c>
      <c r="Q31" s="12" t="n">
        <f aca="false">IF(COUNT(F31,I31,L31)=0,"",MAX(F31,I31,L31))</f>
        <v>76.05</v>
      </c>
      <c r="R31" s="12" t="s">
        <v>96</v>
      </c>
      <c r="S31" s="12" t="str">
        <f aca="false">IF(ISNUMBER(R31),ROUNDDOWN(R31*0.96,2),"—")</f>
        <v>—</v>
      </c>
      <c r="T31" s="14" t="n">
        <f aca="false">IF(COUNT(F31,I31,L31)=0,"Sem cotação",ROUND(P31,2))</f>
        <v>53.8</v>
      </c>
      <c r="U31" s="15" t="str">
        <f aca="false">IF(AND(ISNUMBER(R31),ISNUMBER(T31)),T31/R31-1,"—")</f>
        <v>—</v>
      </c>
      <c r="V31" s="12" t="n">
        <f aca="false">IF(ISNUMBER(T31),D31*T31,0)</f>
        <v>48689</v>
      </c>
    </row>
    <row r="32" customFormat="false" ht="35.05" hidden="false" customHeight="false" outlineLevel="0" collapsed="false">
      <c r="A32" s="10" t="n">
        <v>30</v>
      </c>
      <c r="B32" s="10" t="s">
        <v>185</v>
      </c>
      <c r="C32" s="10" t="s">
        <v>133</v>
      </c>
      <c r="D32" s="11" t="n">
        <v>905</v>
      </c>
      <c r="E32" s="10" t="s">
        <v>127</v>
      </c>
      <c r="F32" s="12" t="n">
        <v>53.8</v>
      </c>
      <c r="G32" s="13" t="s">
        <v>40</v>
      </c>
      <c r="H32" s="10" t="s">
        <v>128</v>
      </c>
      <c r="I32" s="12" t="n">
        <v>72.91</v>
      </c>
      <c r="J32" s="13" t="s">
        <v>129</v>
      </c>
      <c r="K32" s="10" t="s">
        <v>186</v>
      </c>
      <c r="L32" s="12" t="n">
        <v>7</v>
      </c>
      <c r="M32" s="13" t="s">
        <v>135</v>
      </c>
      <c r="N32" s="12" t="n">
        <f aca="false">IF(COUNT(F32,I32,L32)=0,"",MIN(F32,I32,L32))</f>
        <v>7</v>
      </c>
      <c r="O32" s="12" t="n">
        <f aca="false">IF(COUNT(F32,I32,L32)=0,"",AVERAGE(F32,I32,L32))</f>
        <v>44.57</v>
      </c>
      <c r="P32" s="12" t="n">
        <f aca="false">IF(COUNT(F32,I32,L32)=0,"",MEDIAN(F32,I32,L32))</f>
        <v>53.8</v>
      </c>
      <c r="Q32" s="12" t="n">
        <f aca="false">IF(COUNT(F32,I32,L32)=0,"",MAX(F32,I32,L32))</f>
        <v>72.91</v>
      </c>
      <c r="R32" s="12" t="s">
        <v>96</v>
      </c>
      <c r="S32" s="12" t="str">
        <f aca="false">IF(ISNUMBER(R32),ROUNDDOWN(R32*0.96,2),"—")</f>
        <v>—</v>
      </c>
      <c r="T32" s="14" t="n">
        <f aca="false">IF(COUNT(F32,I32,L32)=0,"Sem cotação",ROUND(P32,2))</f>
        <v>53.8</v>
      </c>
      <c r="U32" s="15" t="str">
        <f aca="false">IF(AND(ISNUMBER(R32),ISNUMBER(T32)),T32/R32-1,"—")</f>
        <v>—</v>
      </c>
      <c r="V32" s="12" t="n">
        <f aca="false">IF(ISNUMBER(T32),D32*T32,0)</f>
        <v>48689</v>
      </c>
    </row>
    <row r="33" customFormat="false" ht="23.85" hidden="false" customHeight="false" outlineLevel="0" collapsed="false">
      <c r="A33" s="10" t="n">
        <v>31</v>
      </c>
      <c r="B33" s="10" t="s">
        <v>187</v>
      </c>
      <c r="C33" s="10" t="s">
        <v>133</v>
      </c>
      <c r="D33" s="11" t="n">
        <v>21942</v>
      </c>
      <c r="E33" s="10" t="s">
        <v>128</v>
      </c>
      <c r="F33" s="12" t="n">
        <v>64.31</v>
      </c>
      <c r="G33" s="13" t="s">
        <v>129</v>
      </c>
      <c r="H33" s="10" t="s">
        <v>169</v>
      </c>
      <c r="I33" s="12" t="n">
        <v>43.9</v>
      </c>
      <c r="J33" s="13" t="s">
        <v>146</v>
      </c>
      <c r="K33" s="10" t="s">
        <v>134</v>
      </c>
      <c r="L33" s="12" t="n">
        <v>10.3</v>
      </c>
      <c r="M33" s="13" t="s">
        <v>135</v>
      </c>
      <c r="N33" s="12" t="n">
        <f aca="false">IF(COUNT(F33,I33,L33)=0,"",MIN(F33,I33,L33))</f>
        <v>10.3</v>
      </c>
      <c r="O33" s="12" t="n">
        <f aca="false">IF(COUNT(F33,I33,L33)=0,"",AVERAGE(F33,I33,L33))</f>
        <v>39.5033333333333</v>
      </c>
      <c r="P33" s="12" t="n">
        <f aca="false">IF(COUNT(F33,I33,L33)=0,"",MEDIAN(F33,I33,L33))</f>
        <v>43.9</v>
      </c>
      <c r="Q33" s="12" t="n">
        <f aca="false">IF(COUNT(F33,I33,L33)=0,"",MAX(F33,I33,L33))</f>
        <v>64.31</v>
      </c>
      <c r="R33" s="12" t="s">
        <v>96</v>
      </c>
      <c r="S33" s="12" t="str">
        <f aca="false">IF(ISNUMBER(R33),ROUNDDOWN(R33*0.96,2),"—")</f>
        <v>—</v>
      </c>
      <c r="T33" s="14" t="n">
        <f aca="false">IF(COUNT(F33,I33,L33)=0,"Sem cotação",ROUND(P33,2))</f>
        <v>43.9</v>
      </c>
      <c r="U33" s="15" t="str">
        <f aca="false">IF(AND(ISNUMBER(R33),ISNUMBER(T33)),T33/R33-1,"—")</f>
        <v>—</v>
      </c>
      <c r="V33" s="12" t="n">
        <f aca="false">IF(ISNUMBER(T33),D33*T33,0)</f>
        <v>963253.8</v>
      </c>
    </row>
    <row r="34" customFormat="false" ht="35.05" hidden="false" customHeight="false" outlineLevel="0" collapsed="false">
      <c r="A34" s="10" t="n">
        <v>32</v>
      </c>
      <c r="B34" s="10" t="s">
        <v>188</v>
      </c>
      <c r="C34" s="10" t="s">
        <v>133</v>
      </c>
      <c r="D34" s="11" t="n">
        <v>905</v>
      </c>
      <c r="E34" s="10" t="s">
        <v>127</v>
      </c>
      <c r="F34" s="12" t="n">
        <v>69.5</v>
      </c>
      <c r="G34" s="13" t="s">
        <v>40</v>
      </c>
      <c r="H34" s="10" t="s">
        <v>128</v>
      </c>
      <c r="I34" s="12" t="n">
        <v>94.22</v>
      </c>
      <c r="J34" s="13" t="s">
        <v>129</v>
      </c>
      <c r="K34" s="10" t="s">
        <v>134</v>
      </c>
      <c r="L34" s="12" t="n">
        <v>19.5</v>
      </c>
      <c r="M34" s="13" t="s">
        <v>135</v>
      </c>
      <c r="N34" s="12" t="n">
        <f aca="false">IF(COUNT(F34,I34,L34)=0,"",MIN(F34,I34,L34))</f>
        <v>19.5</v>
      </c>
      <c r="O34" s="12" t="n">
        <f aca="false">IF(COUNT(F34,I34,L34)=0,"",AVERAGE(F34,I34,L34))</f>
        <v>61.0733333333333</v>
      </c>
      <c r="P34" s="12" t="n">
        <f aca="false">IF(COUNT(F34,I34,L34)=0,"",MEDIAN(F34,I34,L34))</f>
        <v>69.5</v>
      </c>
      <c r="Q34" s="12" t="n">
        <f aca="false">IF(COUNT(F34,I34,L34)=0,"",MAX(F34,I34,L34))</f>
        <v>94.22</v>
      </c>
      <c r="R34" s="12" t="s">
        <v>96</v>
      </c>
      <c r="S34" s="12" t="str">
        <f aca="false">IF(ISNUMBER(R34),ROUNDDOWN(R34*0.96,2),"—")</f>
        <v>—</v>
      </c>
      <c r="T34" s="14" t="n">
        <f aca="false">IF(COUNT(F34,I34,L34)=0,"Sem cotação",ROUND(P34,2))</f>
        <v>69.5</v>
      </c>
      <c r="U34" s="15" t="str">
        <f aca="false">IF(AND(ISNUMBER(R34),ISNUMBER(T34)),T34/R34-1,"—")</f>
        <v>—</v>
      </c>
      <c r="V34" s="12" t="n">
        <f aca="false">IF(ISNUMBER(T34),D34*T34,0)</f>
        <v>62897.5</v>
      </c>
    </row>
    <row r="35" customFormat="false" ht="35.05" hidden="false" customHeight="false" outlineLevel="0" collapsed="false">
      <c r="A35" s="10" t="n">
        <v>33</v>
      </c>
      <c r="B35" s="10" t="s">
        <v>189</v>
      </c>
      <c r="C35" s="10" t="s">
        <v>133</v>
      </c>
      <c r="D35" s="11" t="n">
        <v>905</v>
      </c>
      <c r="E35" s="10" t="s">
        <v>127</v>
      </c>
      <c r="F35" s="12" t="n">
        <v>101.25</v>
      </c>
      <c r="G35" s="13" t="s">
        <v>40</v>
      </c>
      <c r="H35" s="10" t="s">
        <v>128</v>
      </c>
      <c r="I35" s="12" t="n">
        <v>137.21</v>
      </c>
      <c r="J35" s="13" t="s">
        <v>129</v>
      </c>
      <c r="K35" s="10" t="s">
        <v>134</v>
      </c>
      <c r="L35" s="12" t="n">
        <v>39</v>
      </c>
      <c r="M35" s="13" t="s">
        <v>135</v>
      </c>
      <c r="N35" s="12" t="n">
        <f aca="false">IF(COUNT(F35,I35,L35)=0,"",MIN(F35,I35,L35))</f>
        <v>39</v>
      </c>
      <c r="O35" s="12" t="n">
        <f aca="false">IF(COUNT(F35,I35,L35)=0,"",AVERAGE(F35,I35,L35))</f>
        <v>92.4866666666667</v>
      </c>
      <c r="P35" s="12" t="n">
        <f aca="false">IF(COUNT(F35,I35,L35)=0,"",MEDIAN(F35,I35,L35))</f>
        <v>101.25</v>
      </c>
      <c r="Q35" s="12" t="n">
        <f aca="false">IF(COUNT(F35,I35,L35)=0,"",MAX(F35,I35,L35))</f>
        <v>137.21</v>
      </c>
      <c r="R35" s="12" t="s">
        <v>96</v>
      </c>
      <c r="S35" s="12" t="str">
        <f aca="false">IF(ISNUMBER(R35),ROUNDDOWN(R35*0.96,2),"—")</f>
        <v>—</v>
      </c>
      <c r="T35" s="14" t="n">
        <f aca="false">IF(COUNT(F35,I35,L35)=0,"Sem cotação",ROUND(P35,2))</f>
        <v>101.25</v>
      </c>
      <c r="U35" s="15" t="str">
        <f aca="false">IF(AND(ISNUMBER(R35),ISNUMBER(T35)),T35/R35-1,"—")</f>
        <v>—</v>
      </c>
      <c r="V35" s="12" t="n">
        <f aca="false">IF(ISNUMBER(T35),D35*T35,0)</f>
        <v>91631.25</v>
      </c>
    </row>
    <row r="36" customFormat="false" ht="35.05" hidden="false" customHeight="false" outlineLevel="0" collapsed="false">
      <c r="A36" s="10" t="n">
        <v>34</v>
      </c>
      <c r="B36" s="10" t="s">
        <v>190</v>
      </c>
      <c r="C36" s="10" t="s">
        <v>133</v>
      </c>
      <c r="D36" s="11" t="n">
        <v>905</v>
      </c>
      <c r="E36" s="10" t="s">
        <v>127</v>
      </c>
      <c r="F36" s="12" t="n">
        <v>473</v>
      </c>
      <c r="G36" s="13" t="s">
        <v>40</v>
      </c>
      <c r="H36" s="10" t="s">
        <v>128</v>
      </c>
      <c r="I36" s="12" t="n">
        <v>641.01</v>
      </c>
      <c r="J36" s="13" t="s">
        <v>129</v>
      </c>
      <c r="K36" s="10" t="s">
        <v>191</v>
      </c>
      <c r="L36" s="12" t="n">
        <v>600</v>
      </c>
      <c r="M36" s="13" t="s">
        <v>192</v>
      </c>
      <c r="N36" s="12" t="n">
        <f aca="false">IF(COUNT(F36,I36,L36)=0,"",MIN(F36,I36,L36))</f>
        <v>473</v>
      </c>
      <c r="O36" s="12" t="n">
        <f aca="false">IF(COUNT(F36,I36,L36)=0,"",AVERAGE(F36,I36,L36))</f>
        <v>571.336666666667</v>
      </c>
      <c r="P36" s="12" t="n">
        <f aca="false">IF(COUNT(F36,I36,L36)=0,"",MEDIAN(F36,I36,L36))</f>
        <v>600</v>
      </c>
      <c r="Q36" s="12" t="n">
        <f aca="false">IF(COUNT(F36,I36,L36)=0,"",MAX(F36,I36,L36))</f>
        <v>641.01</v>
      </c>
      <c r="R36" s="12" t="s">
        <v>96</v>
      </c>
      <c r="S36" s="12" t="str">
        <f aca="false">IF(ISNUMBER(R36),ROUNDDOWN(R36*0.96,2),"—")</f>
        <v>—</v>
      </c>
      <c r="T36" s="14" t="n">
        <f aca="false">IF(COUNT(F36,I36,L36)=0,"Sem cotação",ROUND(P36,2))</f>
        <v>600</v>
      </c>
      <c r="U36" s="15" t="str">
        <f aca="false">IF(AND(ISNUMBER(R36),ISNUMBER(T36)),T36/R36-1,"—")</f>
        <v>—</v>
      </c>
      <c r="V36" s="12" t="n">
        <f aca="false">IF(ISNUMBER(T36),D36*T36,0)</f>
        <v>543000</v>
      </c>
    </row>
    <row r="37" customFormat="false" ht="35.05" hidden="false" customHeight="false" outlineLevel="0" collapsed="false">
      <c r="A37" s="10" t="n">
        <v>35</v>
      </c>
      <c r="B37" s="10" t="s">
        <v>193</v>
      </c>
      <c r="C37" s="10" t="s">
        <v>133</v>
      </c>
      <c r="D37" s="11" t="n">
        <v>242</v>
      </c>
      <c r="E37" s="10" t="s">
        <v>127</v>
      </c>
      <c r="F37" s="12" t="n">
        <v>214.5</v>
      </c>
      <c r="G37" s="13" t="s">
        <v>40</v>
      </c>
      <c r="H37" s="10" t="s">
        <v>128</v>
      </c>
      <c r="I37" s="12" t="n">
        <v>290.89</v>
      </c>
      <c r="J37" s="13" t="s">
        <v>129</v>
      </c>
      <c r="K37" s="10" t="s">
        <v>150</v>
      </c>
      <c r="L37" s="12" t="n">
        <v>638</v>
      </c>
      <c r="M37" s="13" t="s">
        <v>151</v>
      </c>
      <c r="N37" s="12" t="n">
        <f aca="false">IF(COUNT(F37,I37,L37)=0,"",MIN(F37,I37,L37))</f>
        <v>214.5</v>
      </c>
      <c r="O37" s="12" t="n">
        <f aca="false">IF(COUNT(F37,I37,L37)=0,"",AVERAGE(F37,I37,L37))</f>
        <v>381.13</v>
      </c>
      <c r="P37" s="12" t="n">
        <f aca="false">IF(COUNT(F37,I37,L37)=0,"",MEDIAN(F37,I37,L37))</f>
        <v>290.89</v>
      </c>
      <c r="Q37" s="12" t="n">
        <f aca="false">IF(COUNT(F37,I37,L37)=0,"",MAX(F37,I37,L37))</f>
        <v>638</v>
      </c>
      <c r="R37" s="12" t="s">
        <v>96</v>
      </c>
      <c r="S37" s="12" t="str">
        <f aca="false">IF(ISNUMBER(R37),ROUNDDOWN(R37*0.96,2),"—")</f>
        <v>—</v>
      </c>
      <c r="T37" s="14" t="n">
        <f aca="false">IF(COUNT(F37,I37,L37)=0,"Sem cotação",ROUND(P37,2))</f>
        <v>290.89</v>
      </c>
      <c r="U37" s="15" t="str">
        <f aca="false">IF(AND(ISNUMBER(R37),ISNUMBER(T37)),T37/R37-1,"—")</f>
        <v>—</v>
      </c>
      <c r="V37" s="12" t="n">
        <f aca="false">IF(ISNUMBER(T37),D37*T37,0)</f>
        <v>70395.38</v>
      </c>
    </row>
    <row r="38" customFormat="false" ht="35.05" hidden="false" customHeight="false" outlineLevel="0" collapsed="false">
      <c r="A38" s="10" t="n">
        <v>36</v>
      </c>
      <c r="B38" s="10" t="s">
        <v>194</v>
      </c>
      <c r="C38" s="10" t="s">
        <v>133</v>
      </c>
      <c r="D38" s="11" t="n">
        <v>905</v>
      </c>
      <c r="E38" s="10" t="s">
        <v>127</v>
      </c>
      <c r="F38" s="12" t="n">
        <v>482</v>
      </c>
      <c r="G38" s="13" t="s">
        <v>40</v>
      </c>
      <c r="H38" s="10" t="s">
        <v>128</v>
      </c>
      <c r="I38" s="12" t="n">
        <v>653.36</v>
      </c>
      <c r="J38" s="13" t="s">
        <v>129</v>
      </c>
      <c r="K38" s="10" t="s">
        <v>195</v>
      </c>
      <c r="L38" s="12" t="n">
        <v>450</v>
      </c>
      <c r="M38" s="13" t="s">
        <v>192</v>
      </c>
      <c r="N38" s="12" t="n">
        <f aca="false">IF(COUNT(F38,I38,L38)=0,"",MIN(F38,I38,L38))</f>
        <v>450</v>
      </c>
      <c r="O38" s="12" t="n">
        <f aca="false">IF(COUNT(F38,I38,L38)=0,"",AVERAGE(F38,I38,L38))</f>
        <v>528.453333333333</v>
      </c>
      <c r="P38" s="12" t="n">
        <f aca="false">IF(COUNT(F38,I38,L38)=0,"",MEDIAN(F38,I38,L38))</f>
        <v>482</v>
      </c>
      <c r="Q38" s="12" t="n">
        <f aca="false">IF(COUNT(F38,I38,L38)=0,"",MAX(F38,I38,L38))</f>
        <v>653.36</v>
      </c>
      <c r="R38" s="12" t="s">
        <v>96</v>
      </c>
      <c r="S38" s="12" t="str">
        <f aca="false">IF(ISNUMBER(R38),ROUNDDOWN(R38*0.96,2),"—")</f>
        <v>—</v>
      </c>
      <c r="T38" s="14" t="n">
        <f aca="false">IF(COUNT(F38,I38,L38)=0,"Sem cotação",ROUND(P38,2))</f>
        <v>482</v>
      </c>
      <c r="U38" s="15" t="str">
        <f aca="false">IF(AND(ISNUMBER(R38),ISNUMBER(T38)),T38/R38-1,"—")</f>
        <v>—</v>
      </c>
      <c r="V38" s="12" t="n">
        <f aca="false">IF(ISNUMBER(T38),D38*T38,0)</f>
        <v>436210</v>
      </c>
    </row>
    <row r="39" customFormat="false" ht="35.05" hidden="false" customHeight="false" outlineLevel="0" collapsed="false">
      <c r="A39" s="10" t="n">
        <v>37</v>
      </c>
      <c r="B39" s="10" t="s">
        <v>196</v>
      </c>
      <c r="C39" s="10" t="s">
        <v>133</v>
      </c>
      <c r="D39" s="11" t="n">
        <v>905</v>
      </c>
      <c r="E39" s="10" t="s">
        <v>127</v>
      </c>
      <c r="F39" s="12" t="n">
        <v>11.66</v>
      </c>
      <c r="G39" s="13" t="s">
        <v>40</v>
      </c>
      <c r="H39" s="10" t="s">
        <v>128</v>
      </c>
      <c r="I39" s="12" t="n">
        <v>15.82</v>
      </c>
      <c r="J39" s="13" t="s">
        <v>129</v>
      </c>
      <c r="K39" s="10" t="s">
        <v>197</v>
      </c>
      <c r="L39" s="12" t="n">
        <v>18.32</v>
      </c>
      <c r="M39" s="13" t="s">
        <v>198</v>
      </c>
      <c r="N39" s="12" t="n">
        <f aca="false">IF(COUNT(F39,I39,L39)=0,"",MIN(F39,I39,L39))</f>
        <v>11.66</v>
      </c>
      <c r="O39" s="12" t="n">
        <f aca="false">IF(COUNT(F39,I39,L39)=0,"",AVERAGE(F39,I39,L39))</f>
        <v>15.2666666666667</v>
      </c>
      <c r="P39" s="12" t="n">
        <f aca="false">IF(COUNT(F39,I39,L39)=0,"",MEDIAN(F39,I39,L39))</f>
        <v>15.82</v>
      </c>
      <c r="Q39" s="12" t="n">
        <f aca="false">IF(COUNT(F39,I39,L39)=0,"",MAX(F39,I39,L39))</f>
        <v>18.32</v>
      </c>
      <c r="R39" s="12" t="s">
        <v>96</v>
      </c>
      <c r="S39" s="12" t="str">
        <f aca="false">IF(ISNUMBER(R39),ROUNDDOWN(R39*0.96,2),"—")</f>
        <v>—</v>
      </c>
      <c r="T39" s="14" t="n">
        <f aca="false">IF(COUNT(F39,I39,L39)=0,"Sem cotação",ROUND(P39,2))</f>
        <v>15.82</v>
      </c>
      <c r="U39" s="15" t="str">
        <f aca="false">IF(AND(ISNUMBER(R39),ISNUMBER(T39)),T39/R39-1,"—")</f>
        <v>—</v>
      </c>
      <c r="V39" s="12" t="n">
        <f aca="false">IF(ISNUMBER(T39),D39*T39,0)</f>
        <v>14317.1</v>
      </c>
    </row>
    <row r="40" customFormat="false" ht="35.05" hidden="false" customHeight="false" outlineLevel="0" collapsed="false">
      <c r="A40" s="10" t="n">
        <v>38</v>
      </c>
      <c r="B40" s="10" t="s">
        <v>199</v>
      </c>
      <c r="C40" s="10" t="s">
        <v>133</v>
      </c>
      <c r="D40" s="11" t="n">
        <v>826</v>
      </c>
      <c r="E40" s="10" t="s">
        <v>127</v>
      </c>
      <c r="F40" s="12" t="n">
        <v>257.8</v>
      </c>
      <c r="G40" s="13" t="s">
        <v>40</v>
      </c>
      <c r="H40" s="10" t="s">
        <v>200</v>
      </c>
      <c r="I40" s="12" t="n">
        <v>144.49</v>
      </c>
      <c r="J40" s="13" t="s">
        <v>146</v>
      </c>
      <c r="K40" s="10" t="s">
        <v>134</v>
      </c>
      <c r="L40" s="12" t="n">
        <v>180</v>
      </c>
      <c r="M40" s="13" t="s">
        <v>135</v>
      </c>
      <c r="N40" s="12" t="n">
        <f aca="false">IF(COUNT(F40,I40,L40)=0,"",MIN(F40,I40,L40))</f>
        <v>144.49</v>
      </c>
      <c r="O40" s="12" t="n">
        <f aca="false">IF(COUNT(F40,I40,L40)=0,"",AVERAGE(F40,I40,L40))</f>
        <v>194.096666666667</v>
      </c>
      <c r="P40" s="12" t="n">
        <f aca="false">IF(COUNT(F40,I40,L40)=0,"",MEDIAN(F40,I40,L40))</f>
        <v>180</v>
      </c>
      <c r="Q40" s="12" t="n">
        <f aca="false">IF(COUNT(F40,I40,L40)=0,"",MAX(F40,I40,L40))</f>
        <v>257.8</v>
      </c>
      <c r="R40" s="12" t="s">
        <v>96</v>
      </c>
      <c r="S40" s="12" t="str">
        <f aca="false">IF(ISNUMBER(R40),ROUNDDOWN(R40*0.96,2),"—")</f>
        <v>—</v>
      </c>
      <c r="T40" s="14" t="n">
        <f aca="false">IF(COUNT(F40,I40,L40)=0,"Sem cotação",ROUND(P40,2))</f>
        <v>180</v>
      </c>
      <c r="U40" s="15" t="str">
        <f aca="false">IF(AND(ISNUMBER(R40),ISNUMBER(T40)),T40/R40-1,"—")</f>
        <v>—</v>
      </c>
      <c r="V40" s="12" t="n">
        <f aca="false">IF(ISNUMBER(T40),D40*T40,0)</f>
        <v>148680</v>
      </c>
    </row>
    <row r="41" customFormat="false" ht="35.05" hidden="false" customHeight="false" outlineLevel="0" collapsed="false">
      <c r="A41" s="10" t="n">
        <v>39</v>
      </c>
      <c r="B41" s="10" t="s">
        <v>201</v>
      </c>
      <c r="C41" s="10" t="s">
        <v>133</v>
      </c>
      <c r="D41" s="11" t="n">
        <v>905</v>
      </c>
      <c r="E41" s="10" t="s">
        <v>127</v>
      </c>
      <c r="F41" s="12" t="n">
        <v>137.5</v>
      </c>
      <c r="G41" s="13" t="s">
        <v>40</v>
      </c>
      <c r="H41" s="10" t="s">
        <v>128</v>
      </c>
      <c r="I41" s="12" t="n">
        <v>186.38</v>
      </c>
      <c r="J41" s="13" t="s">
        <v>129</v>
      </c>
      <c r="K41" s="10" t="s">
        <v>202</v>
      </c>
      <c r="L41" s="12" t="n">
        <v>238</v>
      </c>
      <c r="M41" s="13" t="s">
        <v>135</v>
      </c>
      <c r="N41" s="12" t="n">
        <f aca="false">IF(COUNT(F41,I41,L41)=0,"",MIN(F41,I41,L41))</f>
        <v>137.5</v>
      </c>
      <c r="O41" s="12" t="n">
        <f aca="false">IF(COUNT(F41,I41,L41)=0,"",AVERAGE(F41,I41,L41))</f>
        <v>187.293333333333</v>
      </c>
      <c r="P41" s="12" t="n">
        <f aca="false">IF(COUNT(F41,I41,L41)=0,"",MEDIAN(F41,I41,L41))</f>
        <v>186.38</v>
      </c>
      <c r="Q41" s="12" t="n">
        <f aca="false">IF(COUNT(F41,I41,L41)=0,"",MAX(F41,I41,L41))</f>
        <v>238</v>
      </c>
      <c r="R41" s="12" t="s">
        <v>96</v>
      </c>
      <c r="S41" s="12" t="str">
        <f aca="false">IF(ISNUMBER(R41),ROUNDDOWN(R41*0.96,2),"—")</f>
        <v>—</v>
      </c>
      <c r="T41" s="14" t="n">
        <f aca="false">IF(COUNT(F41,I41,L41)=0,"Sem cotação",ROUND(P41,2))</f>
        <v>186.38</v>
      </c>
      <c r="U41" s="15" t="str">
        <f aca="false">IF(AND(ISNUMBER(R41),ISNUMBER(T41)),T41/R41-1,"—")</f>
        <v>—</v>
      </c>
      <c r="V41" s="12" t="n">
        <f aca="false">IF(ISNUMBER(T41),D41*T41,0)</f>
        <v>168673.9</v>
      </c>
    </row>
    <row r="42" customFormat="false" ht="35.05" hidden="false" customHeight="false" outlineLevel="0" collapsed="false">
      <c r="A42" s="10" t="n">
        <v>40</v>
      </c>
      <c r="B42" s="10" t="s">
        <v>203</v>
      </c>
      <c r="C42" s="10" t="s">
        <v>133</v>
      </c>
      <c r="D42" s="11" t="n">
        <v>905</v>
      </c>
      <c r="E42" s="10" t="s">
        <v>127</v>
      </c>
      <c r="F42" s="12" t="n">
        <v>68</v>
      </c>
      <c r="G42" s="13" t="s">
        <v>40</v>
      </c>
      <c r="H42" s="10" t="s">
        <v>134</v>
      </c>
      <c r="I42" s="12" t="n">
        <v>30</v>
      </c>
      <c r="J42" s="13" t="s">
        <v>135</v>
      </c>
      <c r="K42" s="10" t="s">
        <v>143</v>
      </c>
      <c r="L42" s="12"/>
      <c r="M42" s="10"/>
      <c r="N42" s="12" t="n">
        <f aca="false">IF(COUNT(F42,I42,L42)=0,"",MIN(F42,I42,L42))</f>
        <v>30</v>
      </c>
      <c r="O42" s="12" t="n">
        <f aca="false">IF(COUNT(F42,I42,L42)=0,"",AVERAGE(F42,I42,L42))</f>
        <v>49</v>
      </c>
      <c r="P42" s="12" t="n">
        <f aca="false">IF(COUNT(F42,I42,L42)=0,"",MEDIAN(F42,I42,L42))</f>
        <v>49</v>
      </c>
      <c r="Q42" s="12" t="n">
        <f aca="false">IF(COUNT(F42,I42,L42)=0,"",MAX(F42,I42,L42))</f>
        <v>68</v>
      </c>
      <c r="R42" s="12" t="s">
        <v>96</v>
      </c>
      <c r="S42" s="12" t="str">
        <f aca="false">IF(ISNUMBER(R42),ROUNDDOWN(R42*0.96,2),"—")</f>
        <v>—</v>
      </c>
      <c r="T42" s="14" t="n">
        <f aca="false">IF(COUNT(F42,I42,L42)=0,"Sem cotação",ROUND(P42,2))</f>
        <v>49</v>
      </c>
      <c r="U42" s="15" t="str">
        <f aca="false">IF(AND(ISNUMBER(R42),ISNUMBER(T42)),T42/R42-1,"—")</f>
        <v>—</v>
      </c>
      <c r="V42" s="12" t="n">
        <f aca="false">IF(ISNUMBER(T42),D42*T42,0)</f>
        <v>44345</v>
      </c>
    </row>
    <row r="43" customFormat="false" ht="35.05" hidden="false" customHeight="false" outlineLevel="0" collapsed="false">
      <c r="A43" s="10" t="n">
        <v>41</v>
      </c>
      <c r="B43" s="10" t="s">
        <v>204</v>
      </c>
      <c r="C43" s="10" t="s">
        <v>133</v>
      </c>
      <c r="D43" s="11" t="n">
        <v>1496</v>
      </c>
      <c r="E43" s="10" t="s">
        <v>127</v>
      </c>
      <c r="F43" s="12" t="n">
        <v>41.1</v>
      </c>
      <c r="G43" s="13" t="s">
        <v>40</v>
      </c>
      <c r="H43" s="10" t="s">
        <v>205</v>
      </c>
      <c r="I43" s="12" t="n">
        <v>78.5</v>
      </c>
      <c r="J43" s="13" t="s">
        <v>151</v>
      </c>
      <c r="K43" s="10" t="s">
        <v>206</v>
      </c>
      <c r="L43" s="12" t="n">
        <v>25.3</v>
      </c>
      <c r="M43" s="13" t="s">
        <v>135</v>
      </c>
      <c r="N43" s="12" t="n">
        <f aca="false">IF(COUNT(F43,I43,L43)=0,"",MIN(F43,I43,L43))</f>
        <v>25.3</v>
      </c>
      <c r="O43" s="12" t="n">
        <f aca="false">IF(COUNT(F43,I43,L43)=0,"",AVERAGE(F43,I43,L43))</f>
        <v>48.3</v>
      </c>
      <c r="P43" s="12" t="n">
        <f aca="false">IF(COUNT(F43,I43,L43)=0,"",MEDIAN(F43,I43,L43))</f>
        <v>41.1</v>
      </c>
      <c r="Q43" s="12" t="n">
        <f aca="false">IF(COUNT(F43,I43,L43)=0,"",MAX(F43,I43,L43))</f>
        <v>78.5</v>
      </c>
      <c r="R43" s="12" t="s">
        <v>96</v>
      </c>
      <c r="S43" s="12" t="str">
        <f aca="false">IF(ISNUMBER(R43),ROUNDDOWN(R43*0.96,2),"—")</f>
        <v>—</v>
      </c>
      <c r="T43" s="14" t="n">
        <f aca="false">IF(COUNT(F43,I43,L43)=0,"Sem cotação",ROUND(P43,2))</f>
        <v>41.1</v>
      </c>
      <c r="U43" s="15" t="str">
        <f aca="false">IF(AND(ISNUMBER(R43),ISNUMBER(T43)),T43/R43-1,"—")</f>
        <v>—</v>
      </c>
      <c r="V43" s="12" t="n">
        <f aca="false">IF(ISNUMBER(T43),D43*T43,0)</f>
        <v>61485.6</v>
      </c>
    </row>
    <row r="44" customFormat="false" ht="35.05" hidden="false" customHeight="false" outlineLevel="0" collapsed="false">
      <c r="A44" s="10" t="n">
        <v>42</v>
      </c>
      <c r="B44" s="10" t="s">
        <v>207</v>
      </c>
      <c r="C44" s="10" t="s">
        <v>133</v>
      </c>
      <c r="D44" s="11" t="n">
        <v>1496</v>
      </c>
      <c r="E44" s="10" t="s">
        <v>127</v>
      </c>
      <c r="F44" s="12" t="n">
        <v>69.5</v>
      </c>
      <c r="G44" s="13" t="s">
        <v>40</v>
      </c>
      <c r="H44" s="10" t="s">
        <v>150</v>
      </c>
      <c r="I44" s="12" t="n">
        <v>78.5</v>
      </c>
      <c r="J44" s="13" t="s">
        <v>151</v>
      </c>
      <c r="K44" s="10" t="s">
        <v>154</v>
      </c>
      <c r="L44" s="12" t="n">
        <v>90</v>
      </c>
      <c r="M44" s="13" t="s">
        <v>155</v>
      </c>
      <c r="N44" s="12" t="n">
        <f aca="false">IF(COUNT(F44,I44,L44)=0,"",MIN(F44,I44,L44))</f>
        <v>69.5</v>
      </c>
      <c r="O44" s="12" t="n">
        <f aca="false">IF(COUNT(F44,I44,L44)=0,"",AVERAGE(F44,I44,L44))</f>
        <v>79.3333333333333</v>
      </c>
      <c r="P44" s="12" t="n">
        <f aca="false">IF(COUNT(F44,I44,L44)=0,"",MEDIAN(F44,I44,L44))</f>
        <v>78.5</v>
      </c>
      <c r="Q44" s="12" t="n">
        <f aca="false">IF(COUNT(F44,I44,L44)=0,"",MAX(F44,I44,L44))</f>
        <v>90</v>
      </c>
      <c r="R44" s="12" t="s">
        <v>96</v>
      </c>
      <c r="S44" s="12" t="str">
        <f aca="false">IF(ISNUMBER(R44),ROUNDDOWN(R44*0.96,2),"—")</f>
        <v>—</v>
      </c>
      <c r="T44" s="14" t="n">
        <f aca="false">IF(COUNT(F44,I44,L44)=0,"Sem cotação",ROUND(P44,2))</f>
        <v>78.5</v>
      </c>
      <c r="U44" s="15" t="str">
        <f aca="false">IF(AND(ISNUMBER(R44),ISNUMBER(T44)),T44/R44-1,"—")</f>
        <v>—</v>
      </c>
      <c r="V44" s="12" t="n">
        <f aca="false">IF(ISNUMBER(T44),D44*T44,0)</f>
        <v>117436</v>
      </c>
    </row>
    <row r="45" customFormat="false" ht="35.05" hidden="false" customHeight="false" outlineLevel="0" collapsed="false">
      <c r="A45" s="10" t="n">
        <v>43</v>
      </c>
      <c r="B45" s="10" t="s">
        <v>208</v>
      </c>
      <c r="C45" s="10" t="s">
        <v>133</v>
      </c>
      <c r="D45" s="11" t="n">
        <v>640</v>
      </c>
      <c r="E45" s="10" t="s">
        <v>127</v>
      </c>
      <c r="F45" s="12" t="n">
        <v>85.2</v>
      </c>
      <c r="G45" s="13" t="s">
        <v>40</v>
      </c>
      <c r="H45" s="10" t="s">
        <v>128</v>
      </c>
      <c r="I45" s="12" t="n">
        <v>115.53</v>
      </c>
      <c r="J45" s="13" t="s">
        <v>129</v>
      </c>
      <c r="K45" s="10" t="s">
        <v>154</v>
      </c>
      <c r="L45" s="12" t="n">
        <v>107</v>
      </c>
      <c r="M45" s="13" t="s">
        <v>155</v>
      </c>
      <c r="N45" s="12" t="n">
        <f aca="false">IF(COUNT(F45,I45,L45)=0,"",MIN(F45,I45,L45))</f>
        <v>85.2</v>
      </c>
      <c r="O45" s="12" t="n">
        <f aca="false">IF(COUNT(F45,I45,L45)=0,"",AVERAGE(F45,I45,L45))</f>
        <v>102.576666666667</v>
      </c>
      <c r="P45" s="12" t="n">
        <f aca="false">IF(COUNT(F45,I45,L45)=0,"",MEDIAN(F45,I45,L45))</f>
        <v>107</v>
      </c>
      <c r="Q45" s="12" t="n">
        <f aca="false">IF(COUNT(F45,I45,L45)=0,"",MAX(F45,I45,L45))</f>
        <v>115.53</v>
      </c>
      <c r="R45" s="12" t="s">
        <v>96</v>
      </c>
      <c r="S45" s="12" t="str">
        <f aca="false">IF(ISNUMBER(R45),ROUNDDOWN(R45*0.96,2),"—")</f>
        <v>—</v>
      </c>
      <c r="T45" s="14" t="n">
        <f aca="false">IF(COUNT(F45,I45,L45)=0,"Sem cotação",ROUND(P45,2))</f>
        <v>107</v>
      </c>
      <c r="U45" s="15" t="str">
        <f aca="false">IF(AND(ISNUMBER(R45),ISNUMBER(T45)),T45/R45-1,"—")</f>
        <v>—</v>
      </c>
      <c r="V45" s="12" t="n">
        <f aca="false">IF(ISNUMBER(T45),D45*T45,0)</f>
        <v>68480</v>
      </c>
    </row>
    <row r="46" customFormat="false" ht="35.05" hidden="false" customHeight="false" outlineLevel="0" collapsed="false">
      <c r="A46" s="10" t="n">
        <v>44</v>
      </c>
      <c r="B46" s="10" t="s">
        <v>209</v>
      </c>
      <c r="C46" s="10" t="s">
        <v>133</v>
      </c>
      <c r="D46" s="11" t="n">
        <v>5027</v>
      </c>
      <c r="E46" s="10" t="s">
        <v>127</v>
      </c>
      <c r="F46" s="12" t="n">
        <v>85.2</v>
      </c>
      <c r="G46" s="13" t="s">
        <v>40</v>
      </c>
      <c r="H46" s="10" t="s">
        <v>128</v>
      </c>
      <c r="I46" s="12" t="n">
        <v>115.53</v>
      </c>
      <c r="J46" s="13" t="s">
        <v>129</v>
      </c>
      <c r="K46" s="10" t="s">
        <v>154</v>
      </c>
      <c r="L46" s="12" t="n">
        <v>121</v>
      </c>
      <c r="M46" s="13" t="s">
        <v>155</v>
      </c>
      <c r="N46" s="12" t="n">
        <f aca="false">IF(COUNT(F46,I46,L46)=0,"",MIN(F46,I46,L46))</f>
        <v>85.2</v>
      </c>
      <c r="O46" s="12" t="n">
        <f aca="false">IF(COUNT(F46,I46,L46)=0,"",AVERAGE(F46,I46,L46))</f>
        <v>107.243333333333</v>
      </c>
      <c r="P46" s="12" t="n">
        <f aca="false">IF(COUNT(F46,I46,L46)=0,"",MEDIAN(F46,I46,L46))</f>
        <v>115.53</v>
      </c>
      <c r="Q46" s="12" t="n">
        <f aca="false">IF(COUNT(F46,I46,L46)=0,"",MAX(F46,I46,L46))</f>
        <v>121</v>
      </c>
      <c r="R46" s="12" t="s">
        <v>96</v>
      </c>
      <c r="S46" s="12" t="str">
        <f aca="false">IF(ISNUMBER(R46),ROUNDDOWN(R46*0.96,2),"—")</f>
        <v>—</v>
      </c>
      <c r="T46" s="14" t="n">
        <f aca="false">IF(COUNT(F46,I46,L46)=0,"Sem cotação",ROUND(P46,2))</f>
        <v>115.53</v>
      </c>
      <c r="U46" s="15" t="str">
        <f aca="false">IF(AND(ISNUMBER(R46),ISNUMBER(T46)),T46/R46-1,"—")</f>
        <v>—</v>
      </c>
      <c r="V46" s="12" t="n">
        <f aca="false">IF(ISNUMBER(T46),D46*T46,0)</f>
        <v>580769.31</v>
      </c>
    </row>
    <row r="47" customFormat="false" ht="35.05" hidden="false" customHeight="false" outlineLevel="0" collapsed="false">
      <c r="A47" s="10" t="n">
        <v>45</v>
      </c>
      <c r="B47" s="10" t="s">
        <v>210</v>
      </c>
      <c r="C47" s="10" t="s">
        <v>133</v>
      </c>
      <c r="D47" s="11" t="n">
        <v>3174</v>
      </c>
      <c r="E47" s="10" t="s">
        <v>127</v>
      </c>
      <c r="F47" s="12" t="n">
        <v>101.25</v>
      </c>
      <c r="G47" s="13" t="s">
        <v>40</v>
      </c>
      <c r="H47" s="10" t="s">
        <v>128</v>
      </c>
      <c r="I47" s="12" t="n">
        <v>137.21</v>
      </c>
      <c r="J47" s="13" t="s">
        <v>129</v>
      </c>
      <c r="K47" s="10" t="s">
        <v>130</v>
      </c>
      <c r="L47" s="12" t="n">
        <v>98</v>
      </c>
      <c r="M47" s="13" t="s">
        <v>131</v>
      </c>
      <c r="N47" s="12" t="n">
        <f aca="false">IF(COUNT(F47,I47,L47)=0,"",MIN(F47,I47,L47))</f>
        <v>98</v>
      </c>
      <c r="O47" s="12" t="n">
        <f aca="false">IF(COUNT(F47,I47,L47)=0,"",AVERAGE(F47,I47,L47))</f>
        <v>112.153333333333</v>
      </c>
      <c r="P47" s="12" t="n">
        <f aca="false">IF(COUNT(F47,I47,L47)=0,"",MEDIAN(F47,I47,L47))</f>
        <v>101.25</v>
      </c>
      <c r="Q47" s="12" t="n">
        <f aca="false">IF(COUNT(F47,I47,L47)=0,"",MAX(F47,I47,L47))</f>
        <v>137.21</v>
      </c>
      <c r="R47" s="12" t="s">
        <v>96</v>
      </c>
      <c r="S47" s="12" t="str">
        <f aca="false">IF(ISNUMBER(R47),ROUNDDOWN(R47*0.96,2),"—")</f>
        <v>—</v>
      </c>
      <c r="T47" s="14" t="n">
        <f aca="false">IF(COUNT(F47,I47,L47)=0,"Sem cotação",ROUND(P47,2))</f>
        <v>101.25</v>
      </c>
      <c r="U47" s="15" t="str">
        <f aca="false">IF(AND(ISNUMBER(R47),ISNUMBER(T47)),T47/R47-1,"—")</f>
        <v>—</v>
      </c>
      <c r="V47" s="12" t="n">
        <f aca="false">IF(ISNUMBER(T47),D47*T47,0)</f>
        <v>321367.5</v>
      </c>
    </row>
    <row r="48" customFormat="false" ht="35.05" hidden="false" customHeight="false" outlineLevel="0" collapsed="false">
      <c r="A48" s="10" t="n">
        <v>46</v>
      </c>
      <c r="B48" s="10" t="s">
        <v>211</v>
      </c>
      <c r="C48" s="10" t="s">
        <v>133</v>
      </c>
      <c r="D48" s="11" t="n">
        <v>3174</v>
      </c>
      <c r="E48" s="10" t="s">
        <v>127</v>
      </c>
      <c r="F48" s="12" t="n">
        <v>133</v>
      </c>
      <c r="G48" s="13" t="s">
        <v>40</v>
      </c>
      <c r="H48" s="10" t="s">
        <v>128</v>
      </c>
      <c r="I48" s="12" t="n">
        <v>180.2</v>
      </c>
      <c r="J48" s="13" t="s">
        <v>129</v>
      </c>
      <c r="K48" s="10" t="s">
        <v>130</v>
      </c>
      <c r="L48" s="12" t="n">
        <v>128.87</v>
      </c>
      <c r="M48" s="13" t="s">
        <v>131</v>
      </c>
      <c r="N48" s="12" t="n">
        <f aca="false">IF(COUNT(F48,I48,L48)=0,"",MIN(F48,I48,L48))</f>
        <v>128.87</v>
      </c>
      <c r="O48" s="12" t="n">
        <f aca="false">IF(COUNT(F48,I48,L48)=0,"",AVERAGE(F48,I48,L48))</f>
        <v>147.356666666667</v>
      </c>
      <c r="P48" s="12" t="n">
        <f aca="false">IF(COUNT(F48,I48,L48)=0,"",MEDIAN(F48,I48,L48))</f>
        <v>133</v>
      </c>
      <c r="Q48" s="12" t="n">
        <f aca="false">IF(COUNT(F48,I48,L48)=0,"",MAX(F48,I48,L48))</f>
        <v>180.2</v>
      </c>
      <c r="R48" s="12" t="s">
        <v>96</v>
      </c>
      <c r="S48" s="12" t="str">
        <f aca="false">IF(ISNUMBER(R48),ROUNDDOWN(R48*0.96,2),"—")</f>
        <v>—</v>
      </c>
      <c r="T48" s="14" t="n">
        <f aca="false">IF(COUNT(F48,I48,L48)=0,"Sem cotação",ROUND(P48,2))</f>
        <v>133</v>
      </c>
      <c r="U48" s="15" t="str">
        <f aca="false">IF(AND(ISNUMBER(R48),ISNUMBER(T48)),T48/R48-1,"—")</f>
        <v>—</v>
      </c>
      <c r="V48" s="12" t="n">
        <f aca="false">IF(ISNUMBER(T48),D48*T48,0)</f>
        <v>422142</v>
      </c>
    </row>
    <row r="49" customFormat="false" ht="35.05" hidden="false" customHeight="false" outlineLevel="0" collapsed="false">
      <c r="A49" s="10" t="n">
        <v>47</v>
      </c>
      <c r="B49" s="10" t="s">
        <v>212</v>
      </c>
      <c r="C49" s="10" t="s">
        <v>133</v>
      </c>
      <c r="D49" s="11" t="n">
        <v>2715</v>
      </c>
      <c r="E49" s="10" t="s">
        <v>127</v>
      </c>
      <c r="F49" s="12" t="n">
        <v>164.75</v>
      </c>
      <c r="G49" s="13" t="s">
        <v>40</v>
      </c>
      <c r="H49" s="10" t="s">
        <v>128</v>
      </c>
      <c r="I49" s="12" t="n">
        <v>223.2</v>
      </c>
      <c r="J49" s="13" t="s">
        <v>129</v>
      </c>
      <c r="K49" s="10" t="s">
        <v>130</v>
      </c>
      <c r="L49" s="12" t="n">
        <v>159.25</v>
      </c>
      <c r="M49" s="13" t="s">
        <v>131</v>
      </c>
      <c r="N49" s="12" t="n">
        <f aca="false">IF(COUNT(F49,I49,L49)=0,"",MIN(F49,I49,L49))</f>
        <v>159.25</v>
      </c>
      <c r="O49" s="12" t="n">
        <f aca="false">IF(COUNT(F49,I49,L49)=0,"",AVERAGE(F49,I49,L49))</f>
        <v>182.4</v>
      </c>
      <c r="P49" s="12" t="n">
        <f aca="false">IF(COUNT(F49,I49,L49)=0,"",MEDIAN(F49,I49,L49))</f>
        <v>164.75</v>
      </c>
      <c r="Q49" s="12" t="n">
        <f aca="false">IF(COUNT(F49,I49,L49)=0,"",MAX(F49,I49,L49))</f>
        <v>223.2</v>
      </c>
      <c r="R49" s="12" t="s">
        <v>96</v>
      </c>
      <c r="S49" s="12" t="str">
        <f aca="false">IF(ISNUMBER(R49),ROUNDDOWN(R49*0.96,2),"—")</f>
        <v>—</v>
      </c>
      <c r="T49" s="14" t="n">
        <f aca="false">IF(COUNT(F49,I49,L49)=0,"Sem cotação",ROUND(P49,2))</f>
        <v>164.75</v>
      </c>
      <c r="U49" s="15" t="str">
        <f aca="false">IF(AND(ISNUMBER(R49),ISNUMBER(T49)),T49/R49-1,"—")</f>
        <v>—</v>
      </c>
      <c r="V49" s="12" t="n">
        <f aca="false">IF(ISNUMBER(T49),D49*T49,0)</f>
        <v>447296.25</v>
      </c>
    </row>
    <row r="50" customFormat="false" ht="35.05" hidden="false" customHeight="false" outlineLevel="0" collapsed="false">
      <c r="A50" s="10" t="n">
        <v>48</v>
      </c>
      <c r="B50" s="10" t="s">
        <v>213</v>
      </c>
      <c r="C50" s="10" t="s">
        <v>133</v>
      </c>
      <c r="D50" s="11" t="n">
        <v>5027</v>
      </c>
      <c r="E50" s="10" t="s">
        <v>127</v>
      </c>
      <c r="F50" s="12" t="n">
        <v>183.8</v>
      </c>
      <c r="G50" s="13" t="s">
        <v>40</v>
      </c>
      <c r="H50" s="10" t="s">
        <v>128</v>
      </c>
      <c r="I50" s="12" t="n">
        <v>248.99</v>
      </c>
      <c r="J50" s="13" t="s">
        <v>129</v>
      </c>
      <c r="K50" s="10" t="s">
        <v>130</v>
      </c>
      <c r="L50" s="12" t="n">
        <v>177.87</v>
      </c>
      <c r="M50" s="13" t="s">
        <v>131</v>
      </c>
      <c r="N50" s="12" t="n">
        <f aca="false">IF(COUNT(F50,I50,L50)=0,"",MIN(F50,I50,L50))</f>
        <v>177.87</v>
      </c>
      <c r="O50" s="12" t="n">
        <f aca="false">IF(COUNT(F50,I50,L50)=0,"",AVERAGE(F50,I50,L50))</f>
        <v>203.553333333333</v>
      </c>
      <c r="P50" s="12" t="n">
        <f aca="false">IF(COUNT(F50,I50,L50)=0,"",MEDIAN(F50,I50,L50))</f>
        <v>183.8</v>
      </c>
      <c r="Q50" s="12" t="n">
        <f aca="false">IF(COUNT(F50,I50,L50)=0,"",MAX(F50,I50,L50))</f>
        <v>248.99</v>
      </c>
      <c r="R50" s="12" t="s">
        <v>96</v>
      </c>
      <c r="S50" s="12" t="str">
        <f aca="false">IF(ISNUMBER(R50),ROUNDDOWN(R50*0.96,2),"—")</f>
        <v>—</v>
      </c>
      <c r="T50" s="14" t="n">
        <f aca="false">IF(COUNT(F50,I50,L50)=0,"Sem cotação",ROUND(P50,2))</f>
        <v>183.8</v>
      </c>
      <c r="U50" s="15" t="str">
        <f aca="false">IF(AND(ISNUMBER(R50),ISNUMBER(T50)),T50/R50-1,"—")</f>
        <v>—</v>
      </c>
      <c r="V50" s="12" t="n">
        <f aca="false">IF(ISNUMBER(T50),D50*T50,0)</f>
        <v>923962.6</v>
      </c>
    </row>
    <row r="51" customFormat="false" ht="35.05" hidden="false" customHeight="false" outlineLevel="0" collapsed="false">
      <c r="A51" s="10" t="n">
        <v>49</v>
      </c>
      <c r="B51" s="10" t="s">
        <v>214</v>
      </c>
      <c r="C51" s="10" t="s">
        <v>133</v>
      </c>
      <c r="D51" s="11" t="n">
        <v>5027</v>
      </c>
      <c r="E51" s="10" t="s">
        <v>127</v>
      </c>
      <c r="F51" s="12" t="n">
        <v>164.75</v>
      </c>
      <c r="G51" s="13" t="s">
        <v>40</v>
      </c>
      <c r="H51" s="10" t="s">
        <v>128</v>
      </c>
      <c r="I51" s="12" t="n">
        <v>223.2</v>
      </c>
      <c r="J51" s="13" t="s">
        <v>129</v>
      </c>
      <c r="K51" s="10" t="s">
        <v>169</v>
      </c>
      <c r="L51" s="12" t="n">
        <v>94.55</v>
      </c>
      <c r="M51" s="13" t="s">
        <v>146</v>
      </c>
      <c r="N51" s="12" t="n">
        <f aca="false">IF(COUNT(F51,I51,L51)=0,"",MIN(F51,I51,L51))</f>
        <v>94.55</v>
      </c>
      <c r="O51" s="12" t="n">
        <f aca="false">IF(COUNT(F51,I51,L51)=0,"",AVERAGE(F51,I51,L51))</f>
        <v>160.833333333333</v>
      </c>
      <c r="P51" s="12" t="n">
        <f aca="false">IF(COUNT(F51,I51,L51)=0,"",MEDIAN(F51,I51,L51))</f>
        <v>164.75</v>
      </c>
      <c r="Q51" s="12" t="n">
        <f aca="false">IF(COUNT(F51,I51,L51)=0,"",MAX(F51,I51,L51))</f>
        <v>223.2</v>
      </c>
      <c r="R51" s="12" t="s">
        <v>96</v>
      </c>
      <c r="S51" s="12" t="str">
        <f aca="false">IF(ISNUMBER(R51),ROUNDDOWN(R51*0.96,2),"—")</f>
        <v>—</v>
      </c>
      <c r="T51" s="14" t="n">
        <f aca="false">IF(COUNT(F51,I51,L51)=0,"Sem cotação",ROUND(P51,2))</f>
        <v>164.75</v>
      </c>
      <c r="U51" s="15" t="str">
        <f aca="false">IF(AND(ISNUMBER(R51),ISNUMBER(T51)),T51/R51-1,"—")</f>
        <v>—</v>
      </c>
      <c r="V51" s="12" t="n">
        <f aca="false">IF(ISNUMBER(T51),D51*T51,0)</f>
        <v>828198.25</v>
      </c>
    </row>
    <row r="52" customFormat="false" ht="35.05" hidden="false" customHeight="false" outlineLevel="0" collapsed="false">
      <c r="A52" s="10" t="n">
        <v>50</v>
      </c>
      <c r="B52" s="10" t="s">
        <v>215</v>
      </c>
      <c r="C52" s="10" t="s">
        <v>133</v>
      </c>
      <c r="D52" s="11" t="n">
        <v>5491</v>
      </c>
      <c r="E52" s="10" t="s">
        <v>127</v>
      </c>
      <c r="F52" s="12" t="n">
        <v>183.8</v>
      </c>
      <c r="G52" s="13" t="s">
        <v>40</v>
      </c>
      <c r="H52" s="10" t="s">
        <v>128</v>
      </c>
      <c r="I52" s="12" t="n">
        <v>248.99</v>
      </c>
      <c r="J52" s="13" t="s">
        <v>129</v>
      </c>
      <c r="K52" s="10" t="s">
        <v>169</v>
      </c>
      <c r="L52" s="12" t="n">
        <v>123.83</v>
      </c>
      <c r="M52" s="13" t="s">
        <v>146</v>
      </c>
      <c r="N52" s="12" t="n">
        <f aca="false">IF(COUNT(F52,I52,L52)=0,"",MIN(F52,I52,L52))</f>
        <v>123.83</v>
      </c>
      <c r="O52" s="12" t="n">
        <f aca="false">IF(COUNT(F52,I52,L52)=0,"",AVERAGE(F52,I52,L52))</f>
        <v>185.54</v>
      </c>
      <c r="P52" s="12" t="n">
        <f aca="false">IF(COUNT(F52,I52,L52)=0,"",MEDIAN(F52,I52,L52))</f>
        <v>183.8</v>
      </c>
      <c r="Q52" s="12" t="n">
        <f aca="false">IF(COUNT(F52,I52,L52)=0,"",MAX(F52,I52,L52))</f>
        <v>248.99</v>
      </c>
      <c r="R52" s="12" t="s">
        <v>96</v>
      </c>
      <c r="S52" s="12" t="str">
        <f aca="false">IF(ISNUMBER(R52),ROUNDDOWN(R52*0.96,2),"—")</f>
        <v>—</v>
      </c>
      <c r="T52" s="14" t="n">
        <f aca="false">IF(COUNT(F52,I52,L52)=0,"Sem cotação",ROUND(P52,2))</f>
        <v>183.8</v>
      </c>
      <c r="U52" s="15" t="str">
        <f aca="false">IF(AND(ISNUMBER(R52),ISNUMBER(T52)),T52/R52-1,"—")</f>
        <v>—</v>
      </c>
      <c r="V52" s="12" t="n">
        <f aca="false">IF(ISNUMBER(T52),D52*T52,0)</f>
        <v>1009245.8</v>
      </c>
    </row>
    <row r="53" customFormat="false" ht="35.05" hidden="false" customHeight="false" outlineLevel="0" collapsed="false">
      <c r="A53" s="10" t="n">
        <v>51</v>
      </c>
      <c r="B53" s="10" t="s">
        <v>216</v>
      </c>
      <c r="C53" s="10" t="s">
        <v>133</v>
      </c>
      <c r="D53" s="11" t="n">
        <v>905</v>
      </c>
      <c r="E53" s="10" t="s">
        <v>127</v>
      </c>
      <c r="F53" s="12" t="n">
        <v>101.25</v>
      </c>
      <c r="G53" s="13" t="s">
        <v>40</v>
      </c>
      <c r="H53" s="10" t="s">
        <v>128</v>
      </c>
      <c r="I53" s="12" t="n">
        <v>137.21</v>
      </c>
      <c r="J53" s="13" t="s">
        <v>129</v>
      </c>
      <c r="K53" s="10" t="s">
        <v>217</v>
      </c>
      <c r="L53" s="12" t="n">
        <v>98</v>
      </c>
      <c r="M53" s="13" t="s">
        <v>131</v>
      </c>
      <c r="N53" s="12" t="n">
        <f aca="false">IF(COUNT(F53,I53,L53)=0,"",MIN(F53,I53,L53))</f>
        <v>98</v>
      </c>
      <c r="O53" s="12" t="n">
        <f aca="false">IF(COUNT(F53,I53,L53)=0,"",AVERAGE(F53,I53,L53))</f>
        <v>112.153333333333</v>
      </c>
      <c r="P53" s="12" t="n">
        <f aca="false">IF(COUNT(F53,I53,L53)=0,"",MEDIAN(F53,I53,L53))</f>
        <v>101.25</v>
      </c>
      <c r="Q53" s="12" t="n">
        <f aca="false">IF(COUNT(F53,I53,L53)=0,"",MAX(F53,I53,L53))</f>
        <v>137.21</v>
      </c>
      <c r="R53" s="12" t="s">
        <v>96</v>
      </c>
      <c r="S53" s="12" t="str">
        <f aca="false">IF(ISNUMBER(R53),ROUNDDOWN(R53*0.96,2),"—")</f>
        <v>—</v>
      </c>
      <c r="T53" s="14" t="n">
        <f aca="false">IF(COUNT(F53,I53,L53)=0,"Sem cotação",ROUND(P53,2))</f>
        <v>101.25</v>
      </c>
      <c r="U53" s="15" t="str">
        <f aca="false">IF(AND(ISNUMBER(R53),ISNUMBER(T53)),T53/R53-1,"—")</f>
        <v>—</v>
      </c>
      <c r="V53" s="12" t="n">
        <f aca="false">IF(ISNUMBER(T53),D53*T53,0)</f>
        <v>91631.25</v>
      </c>
    </row>
    <row r="54" customFormat="false" ht="35.05" hidden="false" customHeight="false" outlineLevel="0" collapsed="false">
      <c r="A54" s="10" t="n">
        <v>52</v>
      </c>
      <c r="B54" s="10" t="s">
        <v>218</v>
      </c>
      <c r="C54" s="10" t="s">
        <v>133</v>
      </c>
      <c r="D54" s="11" t="n">
        <v>905</v>
      </c>
      <c r="E54" s="10" t="s">
        <v>127</v>
      </c>
      <c r="F54" s="12" t="n">
        <v>56.5</v>
      </c>
      <c r="G54" s="13" t="s">
        <v>40</v>
      </c>
      <c r="H54" s="10" t="s">
        <v>128</v>
      </c>
      <c r="I54" s="12" t="n">
        <v>71.36</v>
      </c>
      <c r="J54" s="13" t="s">
        <v>129</v>
      </c>
      <c r="K54" s="10" t="s">
        <v>150</v>
      </c>
      <c r="L54" s="12" t="n">
        <v>42.5</v>
      </c>
      <c r="M54" s="13" t="s">
        <v>151</v>
      </c>
      <c r="N54" s="12" t="n">
        <f aca="false">IF(COUNT(F54,I54,L54)=0,"",MIN(F54,I54,L54))</f>
        <v>42.5</v>
      </c>
      <c r="O54" s="12" t="n">
        <f aca="false">IF(COUNT(F54,I54,L54)=0,"",AVERAGE(F54,I54,L54))</f>
        <v>56.7866666666667</v>
      </c>
      <c r="P54" s="12" t="n">
        <f aca="false">IF(COUNT(F54,I54,L54)=0,"",MEDIAN(F54,I54,L54))</f>
        <v>56.5</v>
      </c>
      <c r="Q54" s="12" t="n">
        <f aca="false">IF(COUNT(F54,I54,L54)=0,"",MAX(F54,I54,L54))</f>
        <v>71.36</v>
      </c>
      <c r="R54" s="12" t="s">
        <v>96</v>
      </c>
      <c r="S54" s="12" t="str">
        <f aca="false">IF(ISNUMBER(R54),ROUNDDOWN(R54*0.96,2),"—")</f>
        <v>—</v>
      </c>
      <c r="T54" s="14" t="n">
        <f aca="false">IF(COUNT(F54,I54,L54)=0,"Sem cotação",ROUND(P54,2))</f>
        <v>56.5</v>
      </c>
      <c r="U54" s="15" t="str">
        <f aca="false">IF(AND(ISNUMBER(R54),ISNUMBER(T54)),T54/R54-1,"—")</f>
        <v>—</v>
      </c>
      <c r="V54" s="12" t="n">
        <f aca="false">IF(ISNUMBER(T54),D54*T54,0)</f>
        <v>51132.5</v>
      </c>
    </row>
    <row r="55" customFormat="false" ht="35.05" hidden="false" customHeight="false" outlineLevel="0" collapsed="false">
      <c r="A55" s="10" t="n">
        <v>53</v>
      </c>
      <c r="B55" s="10" t="s">
        <v>219</v>
      </c>
      <c r="C55" s="10" t="s">
        <v>133</v>
      </c>
      <c r="D55" s="11" t="n">
        <v>905</v>
      </c>
      <c r="E55" s="10" t="s">
        <v>127</v>
      </c>
      <c r="F55" s="12" t="n">
        <v>243.25</v>
      </c>
      <c r="G55" s="13" t="s">
        <v>40</v>
      </c>
      <c r="H55" s="10" t="s">
        <v>128</v>
      </c>
      <c r="I55" s="12" t="n">
        <v>343.95</v>
      </c>
      <c r="J55" s="13" t="s">
        <v>129</v>
      </c>
      <c r="K55" s="10" t="s">
        <v>130</v>
      </c>
      <c r="L55" s="12" t="n">
        <v>329.77</v>
      </c>
      <c r="M55" s="13" t="s">
        <v>131</v>
      </c>
      <c r="N55" s="12" t="n">
        <f aca="false">IF(COUNT(F55,I55,L55)=0,"",MIN(F55,I55,L55))</f>
        <v>243.25</v>
      </c>
      <c r="O55" s="12" t="n">
        <f aca="false">IF(COUNT(F55,I55,L55)=0,"",AVERAGE(F55,I55,L55))</f>
        <v>305.656666666667</v>
      </c>
      <c r="P55" s="12" t="n">
        <f aca="false">IF(COUNT(F55,I55,L55)=0,"",MEDIAN(F55,I55,L55))</f>
        <v>329.77</v>
      </c>
      <c r="Q55" s="12" t="n">
        <f aca="false">IF(COUNT(F55,I55,L55)=0,"",MAX(F55,I55,L55))</f>
        <v>343.95</v>
      </c>
      <c r="R55" s="12" t="s">
        <v>96</v>
      </c>
      <c r="S55" s="12" t="str">
        <f aca="false">IF(ISNUMBER(R55),ROUNDDOWN(R55*0.96,2),"—")</f>
        <v>—</v>
      </c>
      <c r="T55" s="14" t="n">
        <f aca="false">IF(COUNT(F55,I55,L55)=0,"Sem cotação",ROUND(P55,2))</f>
        <v>329.77</v>
      </c>
      <c r="U55" s="15" t="str">
        <f aca="false">IF(AND(ISNUMBER(R55),ISNUMBER(T55)),T55/R55-1,"—")</f>
        <v>—</v>
      </c>
      <c r="V55" s="12" t="n">
        <f aca="false">IF(ISNUMBER(T55),D55*T55,0)</f>
        <v>298441.85</v>
      </c>
    </row>
    <row r="56" customFormat="false" ht="35.05" hidden="false" customHeight="false" outlineLevel="0" collapsed="false">
      <c r="A56" s="10" t="n">
        <v>54</v>
      </c>
      <c r="B56" s="10" t="s">
        <v>220</v>
      </c>
      <c r="C56" s="10" t="s">
        <v>133</v>
      </c>
      <c r="D56" s="11" t="n">
        <v>905</v>
      </c>
      <c r="E56" s="10" t="s">
        <v>127</v>
      </c>
      <c r="F56" s="12" t="n">
        <v>179.75</v>
      </c>
      <c r="G56" s="13" t="s">
        <v>40</v>
      </c>
      <c r="H56" s="10" t="s">
        <v>128</v>
      </c>
      <c r="I56" s="12" t="n">
        <v>252.11</v>
      </c>
      <c r="J56" s="13" t="s">
        <v>129</v>
      </c>
      <c r="K56" s="10" t="s">
        <v>130</v>
      </c>
      <c r="L56" s="12" t="n">
        <v>243.78</v>
      </c>
      <c r="M56" s="13" t="s">
        <v>131</v>
      </c>
      <c r="N56" s="12" t="n">
        <f aca="false">IF(COUNT(F56,I56,L56)=0,"",MIN(F56,I56,L56))</f>
        <v>179.75</v>
      </c>
      <c r="O56" s="12" t="n">
        <f aca="false">IF(COUNT(F56,I56,L56)=0,"",AVERAGE(F56,I56,L56))</f>
        <v>225.213333333333</v>
      </c>
      <c r="P56" s="12" t="n">
        <f aca="false">IF(COUNT(F56,I56,L56)=0,"",MEDIAN(F56,I56,L56))</f>
        <v>243.78</v>
      </c>
      <c r="Q56" s="12" t="n">
        <f aca="false">IF(COUNT(F56,I56,L56)=0,"",MAX(F56,I56,L56))</f>
        <v>252.11</v>
      </c>
      <c r="R56" s="12" t="s">
        <v>96</v>
      </c>
      <c r="S56" s="12" t="str">
        <f aca="false">IF(ISNUMBER(R56),ROUNDDOWN(R56*0.96,2),"—")</f>
        <v>—</v>
      </c>
      <c r="T56" s="14" t="n">
        <f aca="false">IF(COUNT(F56,I56,L56)=0,"Sem cotação",ROUND(P56,2))</f>
        <v>243.78</v>
      </c>
      <c r="U56" s="15" t="str">
        <f aca="false">IF(AND(ISNUMBER(R56),ISNUMBER(T56)),T56/R56-1,"—")</f>
        <v>—</v>
      </c>
      <c r="V56" s="12" t="n">
        <f aca="false">IF(ISNUMBER(T56),D56*T56,0)</f>
        <v>220620.9</v>
      </c>
    </row>
    <row r="57" customFormat="false" ht="46.25" hidden="false" customHeight="false" outlineLevel="0" collapsed="false">
      <c r="A57" s="10" t="n">
        <v>55</v>
      </c>
      <c r="B57" s="10" t="s">
        <v>221</v>
      </c>
      <c r="C57" s="10" t="s">
        <v>133</v>
      </c>
      <c r="D57" s="11" t="n">
        <v>905</v>
      </c>
      <c r="E57" s="10" t="s">
        <v>222</v>
      </c>
      <c r="F57" s="12" t="n">
        <v>86.7</v>
      </c>
      <c r="G57" s="13" t="s">
        <v>40</v>
      </c>
      <c r="H57" s="10" t="s">
        <v>134</v>
      </c>
      <c r="I57" s="12" t="n">
        <v>20</v>
      </c>
      <c r="J57" s="13" t="s">
        <v>135</v>
      </c>
      <c r="K57" s="10" t="s">
        <v>143</v>
      </c>
      <c r="L57" s="12"/>
      <c r="M57" s="10"/>
      <c r="N57" s="12" t="n">
        <f aca="false">IF(COUNT(F57,I57,L57)=0,"",MIN(F57,I57,L57))</f>
        <v>20</v>
      </c>
      <c r="O57" s="12" t="n">
        <f aca="false">IF(COUNT(F57,I57,L57)=0,"",AVERAGE(F57,I57,L57))</f>
        <v>53.35</v>
      </c>
      <c r="P57" s="12" t="n">
        <f aca="false">IF(COUNT(F57,I57,L57)=0,"",MEDIAN(F57,I57,L57))</f>
        <v>53.35</v>
      </c>
      <c r="Q57" s="12" t="n">
        <f aca="false">IF(COUNT(F57,I57,L57)=0,"",MAX(F57,I57,L57))</f>
        <v>86.7</v>
      </c>
      <c r="R57" s="12" t="s">
        <v>96</v>
      </c>
      <c r="S57" s="12" t="str">
        <f aca="false">IF(ISNUMBER(R57),ROUNDDOWN(R57*0.96,2),"—")</f>
        <v>—</v>
      </c>
      <c r="T57" s="14" t="n">
        <f aca="false">IF(COUNT(F57,I57,L57)=0,"Sem cotação",ROUND(P57,2))</f>
        <v>53.35</v>
      </c>
      <c r="U57" s="15" t="str">
        <f aca="false">IF(AND(ISNUMBER(R57),ISNUMBER(T57)),T57/R57-1,"—")</f>
        <v>—</v>
      </c>
      <c r="V57" s="12" t="n">
        <f aca="false">IF(ISNUMBER(T57),D57*T57,0)</f>
        <v>48281.75</v>
      </c>
    </row>
    <row r="58" customFormat="false" ht="15" hidden="false" customHeight="false" outlineLevel="0" collapsed="false">
      <c r="A58" s="10" t="n">
        <v>56</v>
      </c>
      <c r="B58" s="10" t="s">
        <v>223</v>
      </c>
      <c r="C58" s="10" t="s">
        <v>133</v>
      </c>
      <c r="D58" s="11" t="n">
        <v>905</v>
      </c>
      <c r="E58" s="10" t="s">
        <v>143</v>
      </c>
      <c r="F58" s="12"/>
      <c r="G58" s="10"/>
      <c r="H58" s="10" t="s">
        <v>143</v>
      </c>
      <c r="I58" s="12"/>
      <c r="J58" s="10"/>
      <c r="K58" s="10" t="s">
        <v>143</v>
      </c>
      <c r="L58" s="12"/>
      <c r="M58" s="10"/>
      <c r="N58" s="12" t="str">
        <f aca="false">IF(COUNT(F58,I58,L58)=0,"",MIN(F58,I58,L58))</f>
        <v/>
      </c>
      <c r="O58" s="12" t="str">
        <f aca="false">IF(COUNT(F58,I58,L58)=0,"",AVERAGE(F58,I58,L58))</f>
        <v/>
      </c>
      <c r="P58" s="12" t="str">
        <f aca="false">IF(COUNT(F58,I58,L58)=0,"",MEDIAN(F58,I58,L58))</f>
        <v/>
      </c>
      <c r="Q58" s="12" t="str">
        <f aca="false">IF(COUNT(F58,I58,L58)=0,"",MAX(F58,I58,L58))</f>
        <v/>
      </c>
      <c r="R58" s="12" t="s">
        <v>96</v>
      </c>
      <c r="S58" s="12" t="str">
        <f aca="false">IF(ISNUMBER(R58),ROUNDDOWN(R58*0.96,2),"—")</f>
        <v>—</v>
      </c>
      <c r="T58" s="14" t="str">
        <f aca="false">IF(COUNT(F58,I58,L58)=0,"Sem cotação",ROUND(P58,2))</f>
        <v>Sem cotação</v>
      </c>
      <c r="U58" s="15" t="str">
        <f aca="false">IF(AND(ISNUMBER(R58),ISNUMBER(T58)),T58/R58-1,"—")</f>
        <v>—</v>
      </c>
      <c r="V58" s="12" t="n">
        <f aca="false">IF(ISNUMBER(T58),D58*T58,0)</f>
        <v>0</v>
      </c>
    </row>
    <row r="59" customFormat="false" ht="35.05" hidden="false" customHeight="false" outlineLevel="0" collapsed="false">
      <c r="A59" s="10" t="n">
        <v>57</v>
      </c>
      <c r="B59" s="10" t="s">
        <v>224</v>
      </c>
      <c r="C59" s="10" t="s">
        <v>133</v>
      </c>
      <c r="D59" s="11" t="n">
        <v>196</v>
      </c>
      <c r="E59" s="10" t="s">
        <v>127</v>
      </c>
      <c r="F59" s="12" t="n">
        <v>306.75</v>
      </c>
      <c r="G59" s="13" t="s">
        <v>40</v>
      </c>
      <c r="H59" s="10" t="s">
        <v>128</v>
      </c>
      <c r="I59" s="12" t="n">
        <v>415.75</v>
      </c>
      <c r="J59" s="13" t="s">
        <v>129</v>
      </c>
      <c r="K59" s="10" t="s">
        <v>225</v>
      </c>
      <c r="L59" s="12" t="n">
        <v>610.5</v>
      </c>
      <c r="M59" s="13" t="s">
        <v>151</v>
      </c>
      <c r="N59" s="12" t="n">
        <f aca="false">IF(COUNT(F59,I59,L59)=0,"",MIN(F59,I59,L59))</f>
        <v>306.75</v>
      </c>
      <c r="O59" s="12" t="n">
        <f aca="false">IF(COUNT(F59,I59,L59)=0,"",AVERAGE(F59,I59,L59))</f>
        <v>444.333333333333</v>
      </c>
      <c r="P59" s="12" t="n">
        <f aca="false">IF(COUNT(F59,I59,L59)=0,"",MEDIAN(F59,I59,L59))</f>
        <v>415.75</v>
      </c>
      <c r="Q59" s="12" t="n">
        <f aca="false">IF(COUNT(F59,I59,L59)=0,"",MAX(F59,I59,L59))</f>
        <v>610.5</v>
      </c>
      <c r="R59" s="12" t="s">
        <v>96</v>
      </c>
      <c r="S59" s="12" t="str">
        <f aca="false">IF(ISNUMBER(R59),ROUNDDOWN(R59*0.96,2),"—")</f>
        <v>—</v>
      </c>
      <c r="T59" s="14" t="n">
        <f aca="false">IF(COUNT(F59,I59,L59)=0,"Sem cotação",ROUND(P59,2))</f>
        <v>415.75</v>
      </c>
      <c r="U59" s="15" t="str">
        <f aca="false">IF(AND(ISNUMBER(R59),ISNUMBER(T59)),T59/R59-1,"—")</f>
        <v>—</v>
      </c>
      <c r="V59" s="12" t="n">
        <f aca="false">IF(ISNUMBER(T59),D59*T59,0)</f>
        <v>81487</v>
      </c>
    </row>
    <row r="60" customFormat="false" ht="35.05" hidden="false" customHeight="false" outlineLevel="0" collapsed="false">
      <c r="A60" s="10" t="n">
        <v>58</v>
      </c>
      <c r="B60" s="10" t="s">
        <v>226</v>
      </c>
      <c r="C60" s="10" t="s">
        <v>133</v>
      </c>
      <c r="D60" s="11" t="n">
        <v>905</v>
      </c>
      <c r="E60" s="10" t="s">
        <v>127</v>
      </c>
      <c r="F60" s="12" t="n">
        <v>71.9</v>
      </c>
      <c r="G60" s="13" t="s">
        <v>40</v>
      </c>
      <c r="H60" s="10" t="s">
        <v>150</v>
      </c>
      <c r="I60" s="12" t="n">
        <v>123.5</v>
      </c>
      <c r="J60" s="13" t="s">
        <v>151</v>
      </c>
      <c r="K60" s="10" t="s">
        <v>227</v>
      </c>
      <c r="L60" s="12" t="n">
        <v>52</v>
      </c>
      <c r="M60" s="13" t="s">
        <v>228</v>
      </c>
      <c r="N60" s="12" t="n">
        <f aca="false">IF(COUNT(F60,I60,L60)=0,"",MIN(F60,I60,L60))</f>
        <v>52</v>
      </c>
      <c r="O60" s="12" t="n">
        <f aca="false">IF(COUNT(F60,I60,L60)=0,"",AVERAGE(F60,I60,L60))</f>
        <v>82.4666666666667</v>
      </c>
      <c r="P60" s="12" t="n">
        <f aca="false">IF(COUNT(F60,I60,L60)=0,"",MEDIAN(F60,I60,L60))</f>
        <v>71.9</v>
      </c>
      <c r="Q60" s="12" t="n">
        <f aca="false">IF(COUNT(F60,I60,L60)=0,"",MAX(F60,I60,L60))</f>
        <v>123.5</v>
      </c>
      <c r="R60" s="12" t="s">
        <v>96</v>
      </c>
      <c r="S60" s="12" t="str">
        <f aca="false">IF(ISNUMBER(R60),ROUNDDOWN(R60*0.96,2),"—")</f>
        <v>—</v>
      </c>
      <c r="T60" s="14" t="n">
        <f aca="false">IF(COUNT(F60,I60,L60)=0,"Sem cotação",ROUND(P60,2))</f>
        <v>71.9</v>
      </c>
      <c r="U60" s="15" t="str">
        <f aca="false">IF(AND(ISNUMBER(R60),ISNUMBER(T60)),T60/R60-1,"—")</f>
        <v>—</v>
      </c>
      <c r="V60" s="12" t="n">
        <f aca="false">IF(ISNUMBER(T60),D60*T60,0)</f>
        <v>65069.5</v>
      </c>
    </row>
    <row r="61" customFormat="false" ht="35.05" hidden="false" customHeight="false" outlineLevel="0" collapsed="false">
      <c r="A61" s="10" t="n">
        <v>59</v>
      </c>
      <c r="B61" s="10" t="s">
        <v>229</v>
      </c>
      <c r="C61" s="10" t="s">
        <v>133</v>
      </c>
      <c r="D61" s="11" t="n">
        <v>905</v>
      </c>
      <c r="E61" s="10" t="s">
        <v>127</v>
      </c>
      <c r="F61" s="12" t="n">
        <v>53.8</v>
      </c>
      <c r="G61" s="13" t="s">
        <v>40</v>
      </c>
      <c r="H61" s="10" t="s">
        <v>143</v>
      </c>
      <c r="I61" s="12"/>
      <c r="J61" s="10"/>
      <c r="K61" s="10" t="s">
        <v>143</v>
      </c>
      <c r="L61" s="12"/>
      <c r="M61" s="10"/>
      <c r="N61" s="12" t="n">
        <f aca="false">IF(COUNT(F61,I61,L61)=0,"",MIN(F61,I61,L61))</f>
        <v>53.8</v>
      </c>
      <c r="O61" s="12" t="n">
        <f aca="false">IF(COUNT(F61,I61,L61)=0,"",AVERAGE(F61,I61,L61))</f>
        <v>53.8</v>
      </c>
      <c r="P61" s="12" t="n">
        <f aca="false">IF(COUNT(F61,I61,L61)=0,"",MEDIAN(F61,I61,L61))</f>
        <v>53.8</v>
      </c>
      <c r="Q61" s="12" t="n">
        <f aca="false">IF(COUNT(F61,I61,L61)=0,"",MAX(F61,I61,L61))</f>
        <v>53.8</v>
      </c>
      <c r="R61" s="12" t="s">
        <v>96</v>
      </c>
      <c r="S61" s="12" t="str">
        <f aca="false">IF(ISNUMBER(R61),ROUNDDOWN(R61*0.96,2),"—")</f>
        <v>—</v>
      </c>
      <c r="T61" s="14" t="n">
        <f aca="false">IF(COUNT(F61,I61,L61)=0,"Sem cotação",ROUND(P61,2))</f>
        <v>53.8</v>
      </c>
      <c r="U61" s="15" t="str">
        <f aca="false">IF(AND(ISNUMBER(R61),ISNUMBER(T61)),T61/R61-1,"—")</f>
        <v>—</v>
      </c>
      <c r="V61" s="12" t="n">
        <f aca="false">IF(ISNUMBER(T61),D61*T61,0)</f>
        <v>48689</v>
      </c>
    </row>
    <row r="62" customFormat="false" ht="35.05" hidden="false" customHeight="false" outlineLevel="0" collapsed="false">
      <c r="A62" s="10" t="n">
        <v>60</v>
      </c>
      <c r="B62" s="10" t="s">
        <v>230</v>
      </c>
      <c r="C62" s="10" t="s">
        <v>133</v>
      </c>
      <c r="D62" s="11" t="n">
        <v>905</v>
      </c>
      <c r="E62" s="10" t="s">
        <v>127</v>
      </c>
      <c r="F62" s="12" t="n">
        <v>242.75</v>
      </c>
      <c r="G62" s="13" t="s">
        <v>40</v>
      </c>
      <c r="H62" s="10" t="s">
        <v>130</v>
      </c>
      <c r="I62" s="12" t="n">
        <v>331.82</v>
      </c>
      <c r="J62" s="13" t="s">
        <v>131</v>
      </c>
      <c r="K62" s="10" t="s">
        <v>231</v>
      </c>
      <c r="L62" s="12" t="n">
        <v>339.58</v>
      </c>
      <c r="M62" s="13" t="s">
        <v>198</v>
      </c>
      <c r="N62" s="12" t="n">
        <f aca="false">IF(COUNT(F62,I62,L62)=0,"",MIN(F62,I62,L62))</f>
        <v>242.75</v>
      </c>
      <c r="O62" s="12" t="n">
        <f aca="false">IF(COUNT(F62,I62,L62)=0,"",AVERAGE(F62,I62,L62))</f>
        <v>304.716666666667</v>
      </c>
      <c r="P62" s="12" t="n">
        <f aca="false">IF(COUNT(F62,I62,L62)=0,"",MEDIAN(F62,I62,L62))</f>
        <v>331.82</v>
      </c>
      <c r="Q62" s="12" t="n">
        <f aca="false">IF(COUNT(F62,I62,L62)=0,"",MAX(F62,I62,L62))</f>
        <v>339.58</v>
      </c>
      <c r="R62" s="12" t="s">
        <v>96</v>
      </c>
      <c r="S62" s="12" t="str">
        <f aca="false">IF(ISNUMBER(R62),ROUNDDOWN(R62*0.96,2),"—")</f>
        <v>—</v>
      </c>
      <c r="T62" s="14" t="n">
        <f aca="false">IF(COUNT(F62,I62,L62)=0,"Sem cotação",ROUND(P62,2))</f>
        <v>331.82</v>
      </c>
      <c r="U62" s="15" t="str">
        <f aca="false">IF(AND(ISNUMBER(R62),ISNUMBER(T62)),T62/R62-1,"—")</f>
        <v>—</v>
      </c>
      <c r="V62" s="12" t="n">
        <f aca="false">IF(ISNUMBER(T62),D62*T62,0)</f>
        <v>300297.1</v>
      </c>
    </row>
    <row r="63" customFormat="false" ht="35.05" hidden="false" customHeight="false" outlineLevel="0" collapsed="false">
      <c r="A63" s="10" t="n">
        <v>61</v>
      </c>
      <c r="B63" s="10" t="s">
        <v>232</v>
      </c>
      <c r="C63" s="10" t="s">
        <v>133</v>
      </c>
      <c r="D63" s="11" t="n">
        <v>120</v>
      </c>
      <c r="E63" s="10" t="s">
        <v>127</v>
      </c>
      <c r="F63" s="12" t="n">
        <v>105.75</v>
      </c>
      <c r="G63" s="13" t="s">
        <v>40</v>
      </c>
      <c r="H63" s="10" t="s">
        <v>130</v>
      </c>
      <c r="I63" s="12" t="n">
        <v>143.39</v>
      </c>
      <c r="J63" s="13" t="s">
        <v>131</v>
      </c>
      <c r="K63" s="10" t="s">
        <v>143</v>
      </c>
      <c r="L63" s="12"/>
      <c r="M63" s="10"/>
      <c r="N63" s="12" t="n">
        <f aca="false">IF(COUNT(F63,I63,L63)=0,"",MIN(F63,I63,L63))</f>
        <v>105.75</v>
      </c>
      <c r="O63" s="12" t="n">
        <f aca="false">IF(COUNT(F63,I63,L63)=0,"",AVERAGE(F63,I63,L63))</f>
        <v>124.57</v>
      </c>
      <c r="P63" s="12" t="n">
        <f aca="false">IF(COUNT(F63,I63,L63)=0,"",MEDIAN(F63,I63,L63))</f>
        <v>124.57</v>
      </c>
      <c r="Q63" s="12" t="n">
        <f aca="false">IF(COUNT(F63,I63,L63)=0,"",MAX(F63,I63,L63))</f>
        <v>143.39</v>
      </c>
      <c r="R63" s="12" t="s">
        <v>96</v>
      </c>
      <c r="S63" s="12" t="str">
        <f aca="false">IF(ISNUMBER(R63),ROUNDDOWN(R63*0.96,2),"—")</f>
        <v>—</v>
      </c>
      <c r="T63" s="14" t="n">
        <f aca="false">IF(COUNT(F63,I63,L63)=0,"Sem cotação",ROUND(P63,2))</f>
        <v>124.57</v>
      </c>
      <c r="U63" s="15" t="str">
        <f aca="false">IF(AND(ISNUMBER(R63),ISNUMBER(T63)),T63/R63-1,"—")</f>
        <v>—</v>
      </c>
      <c r="V63" s="12" t="n">
        <f aca="false">IF(ISNUMBER(T63),D63*T63,0)</f>
        <v>14948.4</v>
      </c>
    </row>
    <row r="64" customFormat="false" ht="35.05" hidden="false" customHeight="false" outlineLevel="0" collapsed="false">
      <c r="A64" s="10" t="n">
        <v>62</v>
      </c>
      <c r="B64" s="10" t="s">
        <v>233</v>
      </c>
      <c r="C64" s="10" t="s">
        <v>133</v>
      </c>
      <c r="D64" s="11" t="n">
        <v>135</v>
      </c>
      <c r="E64" s="10" t="s">
        <v>127</v>
      </c>
      <c r="F64" s="12" t="n">
        <v>178.25</v>
      </c>
      <c r="G64" s="13" t="s">
        <v>40</v>
      </c>
      <c r="H64" s="10" t="s">
        <v>130</v>
      </c>
      <c r="I64" s="12" t="n">
        <v>240.59</v>
      </c>
      <c r="J64" s="13" t="s">
        <v>131</v>
      </c>
      <c r="K64" s="10" t="s">
        <v>234</v>
      </c>
      <c r="L64" s="12" t="n">
        <v>259.88</v>
      </c>
      <c r="M64" s="13" t="s">
        <v>198</v>
      </c>
      <c r="N64" s="12" t="n">
        <f aca="false">IF(COUNT(F64,I64,L64)=0,"",MIN(F64,I64,L64))</f>
        <v>178.25</v>
      </c>
      <c r="O64" s="12" t="n">
        <f aca="false">IF(COUNT(F64,I64,L64)=0,"",AVERAGE(F64,I64,L64))</f>
        <v>226.24</v>
      </c>
      <c r="P64" s="12" t="n">
        <f aca="false">IF(COUNT(F64,I64,L64)=0,"",MEDIAN(F64,I64,L64))</f>
        <v>240.59</v>
      </c>
      <c r="Q64" s="12" t="n">
        <f aca="false">IF(COUNT(F64,I64,L64)=0,"",MAX(F64,I64,L64))</f>
        <v>259.88</v>
      </c>
      <c r="R64" s="12" t="s">
        <v>96</v>
      </c>
      <c r="S64" s="12" t="str">
        <f aca="false">IF(ISNUMBER(R64),ROUNDDOWN(R64*0.96,2),"—")</f>
        <v>—</v>
      </c>
      <c r="T64" s="14" t="n">
        <f aca="false">IF(COUNT(F64,I64,L64)=0,"Sem cotação",ROUND(P64,2))</f>
        <v>240.59</v>
      </c>
      <c r="U64" s="15" t="str">
        <f aca="false">IF(AND(ISNUMBER(R64),ISNUMBER(T64)),T64/R64-1,"—")</f>
        <v>—</v>
      </c>
      <c r="V64" s="12" t="n">
        <f aca="false">IF(ISNUMBER(T64),D64*T64,0)</f>
        <v>32479.65</v>
      </c>
    </row>
    <row r="65" customFormat="false" ht="35.05" hidden="false" customHeight="false" outlineLevel="0" collapsed="false">
      <c r="A65" s="10" t="n">
        <v>63</v>
      </c>
      <c r="B65" s="10" t="s">
        <v>235</v>
      </c>
      <c r="C65" s="10" t="s">
        <v>133</v>
      </c>
      <c r="D65" s="11" t="n">
        <v>72</v>
      </c>
      <c r="E65" s="10" t="s">
        <v>127</v>
      </c>
      <c r="F65" s="12" t="n">
        <v>306.75</v>
      </c>
      <c r="G65" s="13" t="s">
        <v>40</v>
      </c>
      <c r="H65" s="10" t="s">
        <v>128</v>
      </c>
      <c r="I65" s="12" t="n">
        <v>415.75</v>
      </c>
      <c r="J65" s="13" t="s">
        <v>129</v>
      </c>
      <c r="K65" s="10" t="s">
        <v>197</v>
      </c>
      <c r="L65" s="12" t="n">
        <v>514.65</v>
      </c>
      <c r="M65" s="13" t="s">
        <v>198</v>
      </c>
      <c r="N65" s="12" t="n">
        <f aca="false">IF(COUNT(F65,I65,L65)=0,"",MIN(F65,I65,L65))</f>
        <v>306.75</v>
      </c>
      <c r="O65" s="12" t="n">
        <f aca="false">IF(COUNT(F65,I65,L65)=0,"",AVERAGE(F65,I65,L65))</f>
        <v>412.383333333333</v>
      </c>
      <c r="P65" s="12" t="n">
        <f aca="false">IF(COUNT(F65,I65,L65)=0,"",MEDIAN(F65,I65,L65))</f>
        <v>415.75</v>
      </c>
      <c r="Q65" s="12" t="n">
        <f aca="false">IF(COUNT(F65,I65,L65)=0,"",MAX(F65,I65,L65))</f>
        <v>514.65</v>
      </c>
      <c r="R65" s="12" t="s">
        <v>96</v>
      </c>
      <c r="S65" s="12" t="str">
        <f aca="false">IF(ISNUMBER(R65),ROUNDDOWN(R65*0.96,2),"—")</f>
        <v>—</v>
      </c>
      <c r="T65" s="14" t="n">
        <f aca="false">IF(COUNT(F65,I65,L65)=0,"Sem cotação",ROUND(P65,2))</f>
        <v>415.75</v>
      </c>
      <c r="U65" s="15" t="str">
        <f aca="false">IF(AND(ISNUMBER(R65),ISNUMBER(T65)),T65/R65-1,"—")</f>
        <v>—</v>
      </c>
      <c r="V65" s="12" t="n">
        <f aca="false">IF(ISNUMBER(T65),D65*T65,0)</f>
        <v>29934</v>
      </c>
    </row>
    <row r="66" customFormat="false" ht="35.05" hidden="false" customHeight="false" outlineLevel="0" collapsed="false">
      <c r="A66" s="10" t="n">
        <v>64</v>
      </c>
      <c r="B66" s="10" t="s">
        <v>236</v>
      </c>
      <c r="C66" s="10" t="s">
        <v>133</v>
      </c>
      <c r="D66" s="11" t="n">
        <v>72</v>
      </c>
      <c r="E66" s="10" t="s">
        <v>127</v>
      </c>
      <c r="F66" s="12" t="n">
        <v>72.5</v>
      </c>
      <c r="G66" s="13" t="s">
        <v>40</v>
      </c>
      <c r="H66" s="10" t="s">
        <v>150</v>
      </c>
      <c r="I66" s="12" t="n">
        <v>156</v>
      </c>
      <c r="J66" s="13" t="s">
        <v>151</v>
      </c>
      <c r="K66" s="10" t="s">
        <v>143</v>
      </c>
      <c r="L66" s="12"/>
      <c r="M66" s="10"/>
      <c r="N66" s="12" t="n">
        <f aca="false">IF(COUNT(F66,I66,L66)=0,"",MIN(F66,I66,L66))</f>
        <v>72.5</v>
      </c>
      <c r="O66" s="12" t="n">
        <f aca="false">IF(COUNT(F66,I66,L66)=0,"",AVERAGE(F66,I66,L66))</f>
        <v>114.25</v>
      </c>
      <c r="P66" s="12" t="n">
        <f aca="false">IF(COUNT(F66,I66,L66)=0,"",MEDIAN(F66,I66,L66))</f>
        <v>114.25</v>
      </c>
      <c r="Q66" s="12" t="n">
        <f aca="false">IF(COUNT(F66,I66,L66)=0,"",MAX(F66,I66,L66))</f>
        <v>156</v>
      </c>
      <c r="R66" s="12" t="s">
        <v>96</v>
      </c>
      <c r="S66" s="12" t="str">
        <f aca="false">IF(ISNUMBER(R66),ROUNDDOWN(R66*0.96,2),"—")</f>
        <v>—</v>
      </c>
      <c r="T66" s="14" t="n">
        <f aca="false">IF(COUNT(F66,I66,L66)=0,"Sem cotação",ROUND(P66,2))</f>
        <v>114.25</v>
      </c>
      <c r="U66" s="15" t="str">
        <f aca="false">IF(AND(ISNUMBER(R66),ISNUMBER(T66)),T66/R66-1,"—")</f>
        <v>—</v>
      </c>
      <c r="V66" s="12" t="n">
        <f aca="false">IF(ISNUMBER(T66),D66*T66,0)</f>
        <v>8226</v>
      </c>
    </row>
    <row r="67" customFormat="false" ht="15" hidden="false" customHeight="false" outlineLevel="0" collapsed="false">
      <c r="A67" s="16"/>
      <c r="B67" s="6" t="s">
        <v>43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7" t="n">
        <f aca="false">SUM(V3:V66)</f>
        <v>20579182.67</v>
      </c>
    </row>
  </sheetData>
  <mergeCells count="1">
    <mergeCell ref="A1:V1"/>
  </mergeCells>
  <hyperlinks>
    <hyperlink ref="G3" r:id="rId1" display="https://ciminas.mg.gov.br"/>
    <hyperlink ref="J3" r:id="rId2" display="https://www12.senado.leg.br/institucional/sis/pdfs/tabela-odontologia-v2-nv.pdf"/>
    <hyperlink ref="M3" r:id="rId3" display="https://planassiste.mpu.mp.br/o-plan-assiste/normas/normas-cpmplementares/anexo_v_nc_50.pdf/@@download/file/Anexo_V_NC_50.pdf"/>
    <hyperlink ref="G4" r:id="rId4" display="https://ciminas.mg.gov.br"/>
    <hyperlink ref="J4" r:id="rId5" display="https://www12.senado.leg.br/institucional/sis/pdfs/tabela-odontologia-v2-nv.pdf"/>
    <hyperlink ref="M4" r:id="rId6" display="https://www.gov.br/mme/pt-br/assuntos/orgaos-vinculados/nuclep/plano-de-saude/orientacoes-ao-credenciado/TABELADEPROCEDIMENTOSODONTOLGICOS.pdf"/>
    <hyperlink ref="G5" r:id="rId7" display="https://ciminas.mg.gov.br"/>
    <hyperlink ref="J5" r:id="rId8" display="https://www12.senado.leg.br/institucional/sis/pdfs/tabela-odontologia-v2-nv.pdf"/>
    <hyperlink ref="M5" r:id="rId9" display="https://www.gov.br/mme/pt-br/assuntos/orgaos-vinculados/nuclep/plano-de-saude/orientacoes-ao-credenciado/TABELADEPROCEDIMENTOSODONTOLGICOS.pdf"/>
    <hyperlink ref="G6" r:id="rId10" display="https://ciminas.mg.gov.br"/>
    <hyperlink ref="J6" r:id="rId11" display="https://www12.senado.leg.br/institucional/sis/pdfs/tabela-odontologia-v2-nv.pdf"/>
    <hyperlink ref="M6" r:id="rId12" display="https://www.bcb.gov.br/content/acessoinformacao/bcsaude_docs/Tabela_de_Reembolsos_procedimentos_odontologicos_2026.pdf"/>
    <hyperlink ref="G7" r:id="rId13" display="https://ciminas.mg.gov.br"/>
    <hyperlink ref="J7" r:id="rId14" display="https://www12.senado.leg.br/institucional/sis/pdfs/tabela-odontologia-v2-nv.pdf"/>
    <hyperlink ref="G8" r:id="rId15" display="https://ciminas.mg.gov.br"/>
    <hyperlink ref="J8" r:id="rId16" display="https://www12.senado.leg.br/institucional/sis/pdfs/tabela-odontologia-v2-nv.pdf"/>
    <hyperlink ref="M8" r:id="rId17" display="https://www.bcb.gov.br/content/acessoinformacao/bcsaude_docs/Tabela_Procedimentos_Odontologicos_Edital_Chamamento_26.pdf"/>
    <hyperlink ref="G9" r:id="rId18" display="https://ciminas.mg.gov.br"/>
    <hyperlink ref="J9" r:id="rId19" display="https://www12.senado.leg.br/institucional/sis/pdfs/tabela-odontologia-v2-nv.pdf"/>
    <hyperlink ref="M9" r:id="rId20" display="https://www.bcb.gov.br/content/acessoinformacao/bcsaude_docs/Tabela_Procedimentos_Odontologicos_Edital_Chamamento_26.pdf"/>
    <hyperlink ref="G10" r:id="rId21" display="https://ciminas.mg.gov.br"/>
    <hyperlink ref="J10" r:id="rId22" display="https://fiosaude.org.br/wp-content/uploads/2025/04/tabela_Odontologica_Fiosaude_2025-2026.pdf"/>
    <hyperlink ref="M10" r:id="rId23" display="https://www.bcb.gov.br/content/acessoinformacao/bcsaude_docs/Tabela_de_Reembolsos_procedimentos_odontologicos_2026.pdf"/>
    <hyperlink ref="G11" r:id="rId24" display="https://ciminas.mg.gov.br"/>
    <hyperlink ref="J11" r:id="rId25" display="https://www12.senado.leg.br/institucional/sis/pdfs/tabela-odontologia-v2-nv.pdf"/>
    <hyperlink ref="M11" r:id="rId26" display="https://fiosaude.org.br/wp-content/uploads/2025/04/tabela_Odontologica_Fiosaude_2025-2026.pdf"/>
    <hyperlink ref="G12" r:id="rId27" display="https://ciminas.mg.gov.br"/>
    <hyperlink ref="J12" r:id="rId28" display="https://www12.senado.leg.br/institucional/sis/pdfs/tabela-odontologia-v2-nv.pdf"/>
    <hyperlink ref="M12" r:id="rId29" display="https://www.stj.jus.br/sites/portalp/SiteAssets/Paginas/Sob-medida/Publico-interno/Pro-Ser/Informacoes-aos-credenciados/Tabela_Odontologica_PRECOS_2025.pdf"/>
    <hyperlink ref="G13" r:id="rId30" display="https://ciminas.mg.gov.br"/>
    <hyperlink ref="J13" r:id="rId31" display="https://fiosaude.org.br/wp-content/uploads/2025/04/tabela_Odontologica_Fiosaude_2025-2026.pdf"/>
    <hyperlink ref="M13" r:id="rId32" display="https://www.stj.jus.br/sites/portalp/SiteAssets/Paginas/Sob-medida/Publico-interno/Pro-Ser/Informacoes-aos-credenciados/Tabela_Odontologica_PRECOS_2025.pdf"/>
    <hyperlink ref="G14" r:id="rId33" display="https://ciminas.mg.gov.br"/>
    <hyperlink ref="J14" r:id="rId34" display="https://fiosaude.org.br/wp-content/uploads/2025/04/tabela_Odontologica_Fiosaude_2025-2026.pdf"/>
    <hyperlink ref="M14" r:id="rId35" display="https://www.stj.jus.br/sites/portalp/SiteAssets/Paginas/Sob-medida/Publico-interno/Pro-Ser/Informacoes-aos-credenciados/Tabela_Odontologica_PRECOS_2025.pdf"/>
    <hyperlink ref="G15" r:id="rId36" display="https://ciminas.mg.gov.br"/>
    <hyperlink ref="G16" r:id="rId37" display="https://ciminas.mg.gov.br"/>
    <hyperlink ref="G17" r:id="rId38" display="https://ciminas.mg.gov.br"/>
    <hyperlink ref="G18" r:id="rId39" display="https://ciminas.mg.gov.br"/>
    <hyperlink ref="G19" r:id="rId40" display="https://ciminas.mg.gov.br"/>
    <hyperlink ref="G20" r:id="rId41" display="https://ciminas.mg.gov.br"/>
    <hyperlink ref="G21" r:id="rId42" display="https://ciminas.mg.gov.br"/>
    <hyperlink ref="J21" r:id="rId43" display="https://planassiste.mpu.mp.br/o-plan-assiste/normas/normas-cpmplementares/anexo_v_nc_50.pdf/@@download/file/Anexo_V_NC_50.pdf"/>
    <hyperlink ref="M21" r:id="rId44" display="https://fiosaude.org.br/wp-content/uploads/2025/04/tabela_Odontologica_Fiosaude_2025-2026.pdf"/>
    <hyperlink ref="G22" r:id="rId45" display="https://ciminas.mg.gov.br"/>
    <hyperlink ref="J22" r:id="rId46" display="https://fiosaude.org.br/wp-content/uploads/2025/04/tabela_Odontologica_Fiosaude_2025-2026.pdf"/>
    <hyperlink ref="M22" r:id="rId47" display="https://www.bcb.gov.br/content/acessoinformacao/bcsaude_docs/Tabela_Procedimentos_Odontologicos_Edital_Chamamento_26.pdf"/>
    <hyperlink ref="G23" r:id="rId48" display="https://ciminas.mg.gov.br"/>
    <hyperlink ref="J23" r:id="rId49" display="https://fiosaude.org.br/wp-content/uploads/2025/04/tabela_Odontologica_Fiosaude_2025-2026.pdf"/>
    <hyperlink ref="M23" r:id="rId50" display="https://planassiste.mpu.mp.br/o-plan-assiste/normas/normas-cpmplementares/anexo_v_nc_50.pdf/@@download/file/Anexo_V_NC_50.pdf"/>
    <hyperlink ref="G24" r:id="rId51" display="https://ciminas.mg.gov.br"/>
    <hyperlink ref="J24" r:id="rId52" display="https://fiosaude.org.br/wp-content/uploads/2025/04/tabela_Odontologica_Fiosaude_2025-2026.pdf"/>
    <hyperlink ref="M24" r:id="rId53" display="https://planassiste.mpu.mp.br/o-plan-assiste/normas/normas-cpmplementares/anexo_v_nc_50.pdf/@@download/file/Anexo_V_NC_50.pdf"/>
    <hyperlink ref="G25" r:id="rId54" display="https://ciminas.mg.gov.br"/>
    <hyperlink ref="J25" r:id="rId55" display="https://www.stj.jus.br/sites/portalp/SiteAssets/Paginas/Sob-medida/Publico-interno/Pro-Ser/Informacoes-aos-credenciados/Tabela_Odontologica_PRECOS_2025.pdf"/>
    <hyperlink ref="M25" r:id="rId56" display="https://planassiste.mpu.mp.br/o-plan-assiste/normas/normas-cpmplementares/anexo_v_nc_50.pdf/@@download/file/Anexo_V_NC_50.pdf"/>
    <hyperlink ref="G26" r:id="rId57" display="https://ciminas.mg.gov.br"/>
    <hyperlink ref="J26" r:id="rId58" display="https://fiosaude.org.br/wp-content/uploads/2025/04/tabela_Odontologica_Fiosaude_2025-2026.pdf"/>
    <hyperlink ref="M26" r:id="rId59" display="https://www.gov.br/mme/pt-br/assuntos/orgaos-vinculados/nuclep/plano-de-saude/orientacoes-ao-credenciado/TABELADEPROCEDIMENTOSODONTOLGICOS.pdf"/>
    <hyperlink ref="G27" r:id="rId60" display="https://ciminas.mg.gov.br"/>
    <hyperlink ref="J27" r:id="rId61" display="https://fiosaude.org.br/wp-content/uploads/2025/04/tabela_Odontologica_Fiosaude_2025-2026.pdf"/>
    <hyperlink ref="M27" r:id="rId62" display="https://www.gov.br/mme/pt-br/assuntos/orgaos-vinculados/nuclep/plano-de-saude/orientacoes-ao-credenciado/TABELADEPROCEDIMENTOSODONTOLGICOS.pdf"/>
    <hyperlink ref="G28" r:id="rId63" display="https://ciminas.mg.gov.br"/>
    <hyperlink ref="J28" r:id="rId64" display="https://fiosaude.org.br/wp-content/uploads/2025/04/tabela_Odontologica_Fiosaude_2025-2026.pdf"/>
    <hyperlink ref="G29" r:id="rId65" display="https://ciminas.mg.gov.br"/>
    <hyperlink ref="G30" r:id="rId66" display="https://ciminas.mg.gov.br"/>
    <hyperlink ref="J30" r:id="rId67" display="https://www12.senado.leg.br/institucional/sis/pdfs/tabela-odontologia-v2-nv.pdf"/>
    <hyperlink ref="M30" r:id="rId68" display="https://www.gov.br/mme/pt-br/assuntos/orgaos-vinculados/nuclep/plano-de-saude/orientacoes-ao-credenciado/TABELADEPROCEDIMENTOSODONTOLGICOS.pdf"/>
    <hyperlink ref="G31" r:id="rId69" display="https://ciminas.mg.gov.br"/>
    <hyperlink ref="J31" r:id="rId70" display="https://www12.senado.leg.br/institucional/sis/pdfs/tabela-odontologia-v2-nv.pdf"/>
    <hyperlink ref="M31" r:id="rId71" display="https://www.gov.br/mme/pt-br/assuntos/orgaos-vinculados/nuclep/plano-de-saude/orientacoes-ao-credenciado/TABELADEPROCEDIMENTOSODONTOLGICOS.pdf"/>
    <hyperlink ref="G32" r:id="rId72" display="https://ciminas.mg.gov.br"/>
    <hyperlink ref="J32" r:id="rId73" display="https://www12.senado.leg.br/institucional/sis/pdfs/tabela-odontologia-v2-nv.pdf"/>
    <hyperlink ref="M32" r:id="rId74" display="https://www.gov.br/mme/pt-br/assuntos/orgaos-vinculados/nuclep/plano-de-saude/orientacoes-ao-credenciado/TABELADEPROCEDIMENTOSODONTOLGICOS.pdf"/>
    <hyperlink ref="G33" r:id="rId75" display="https://www12.senado.leg.br/institucional/sis/pdfs/tabela-odontologia-v2-nv.pdf"/>
    <hyperlink ref="J33" r:id="rId76" display="https://www.bcb.gov.br/content/acessoinformacao/bcsaude_docs/Tabela_Procedimentos_Odontologicos_Edital_Chamamento_26.pdf"/>
    <hyperlink ref="M33" r:id="rId77" display="https://www.gov.br/mme/pt-br/assuntos/orgaos-vinculados/nuclep/plano-de-saude/orientacoes-ao-credenciado/TABELADEPROCEDIMENTOSODONTOLGICOS.pdf"/>
    <hyperlink ref="G34" r:id="rId78" display="https://ciminas.mg.gov.br"/>
    <hyperlink ref="J34" r:id="rId79" display="https://www12.senado.leg.br/institucional/sis/pdfs/tabela-odontologia-v2-nv.pdf"/>
    <hyperlink ref="M34" r:id="rId80" display="https://www.gov.br/mme/pt-br/assuntos/orgaos-vinculados/nuclep/plano-de-saude/orientacoes-ao-credenciado/TABELADEPROCEDIMENTOSODONTOLGICOS.pdf"/>
    <hyperlink ref="G35" r:id="rId81" display="https://ciminas.mg.gov.br"/>
    <hyperlink ref="J35" r:id="rId82" display="https://www12.senado.leg.br/institucional/sis/pdfs/tabela-odontologia-v2-nv.pdf"/>
    <hyperlink ref="M35" r:id="rId83" display="https://www.gov.br/mme/pt-br/assuntos/orgaos-vinculados/nuclep/plano-de-saude/orientacoes-ao-credenciado/TABELADEPROCEDIMENTOSODONTOLGICOS.pdf"/>
    <hyperlink ref="G36" r:id="rId84" display="https://ciminas.mg.gov.br"/>
    <hyperlink ref="J36" r:id="rId85" display="https://www12.senado.leg.br/institucional/sis/pdfs/tabela-odontologia-v2-nv.pdf"/>
    <hyperlink ref="M36" r:id="rId86" display="https://www.consud.org/uploads/pagina/arquivos/RESOLUCAO-034-2025-TABELA-DE-PROTESE-ODONTOLOGICA-docx-2.pdf"/>
    <hyperlink ref="G37" r:id="rId87" display="https://ciminas.mg.gov.br"/>
    <hyperlink ref="J37" r:id="rId88" display="https://www12.senado.leg.br/institucional/sis/pdfs/tabela-odontologia-v2-nv.pdf"/>
    <hyperlink ref="M37" r:id="rId89" display="https://fiosaude.org.br/wp-content/uploads/2025/04/tabela_Odontologica_Fiosaude_2025-2026.pdf"/>
    <hyperlink ref="G38" r:id="rId90" display="https://ciminas.mg.gov.br"/>
    <hyperlink ref="J38" r:id="rId91" display="https://www12.senado.leg.br/institucional/sis/pdfs/tabela-odontologia-v2-nv.pdf"/>
    <hyperlink ref="M38" r:id="rId92" display="https://www.consud.org/uploads/pagina/arquivos/RESOLUCAO-034-2025-TABELA-DE-PROTESE-ODONTOLOGICA-docx-2.pdf"/>
    <hyperlink ref="G39" r:id="rId93" display="https://ciminas.mg.gov.br"/>
    <hyperlink ref="J39" r:id="rId94" display="https://www12.senado.leg.br/institucional/sis/pdfs/tabela-odontologia-v2-nv.pdf"/>
    <hyperlink ref="M39" r:id="rId95" display="https://www.tjdft.jus.br/pro-saude/tabelas-proprias-do-pro-saude/tabela-propria-odontologica-ajuste-cynthia.pdf"/>
    <hyperlink ref="G40" r:id="rId96" display="https://ciminas.mg.gov.br"/>
    <hyperlink ref="J40" r:id="rId97" display="https://www.bcb.gov.br/content/acessoinformacao/bcsaude_docs/Tabela_Procedimentos_Odontologicos_Edital_Chamamento_26.pdf"/>
    <hyperlink ref="M40" r:id="rId98" display="https://www.gov.br/mme/pt-br/assuntos/orgaos-vinculados/nuclep/plano-de-saude/orientacoes-ao-credenciado/TABELADEPROCEDIMENTOSODONTOLGICOS.pdf"/>
    <hyperlink ref="G41" r:id="rId99" display="https://ciminas.mg.gov.br"/>
    <hyperlink ref="J41" r:id="rId100" display="https://www12.senado.leg.br/institucional/sis/pdfs/tabela-odontologia-v2-nv.pdf"/>
    <hyperlink ref="M41" r:id="rId101" display="https://www.gov.br/mme/pt-br/assuntos/orgaos-vinculados/nuclep/plano-de-saude/orientacoes-ao-credenciado/TABELADEPROCEDIMENTOSODONTOLGICOS.pdf"/>
    <hyperlink ref="G42" r:id="rId102" display="https://ciminas.mg.gov.br"/>
    <hyperlink ref="J42" r:id="rId103" display="https://www.gov.br/mme/pt-br/assuntos/orgaos-vinculados/nuclep/plano-de-saude/orientacoes-ao-credenciado/TABELADEPROCEDIMENTOSODONTOLGICOS.pdf"/>
    <hyperlink ref="G43" r:id="rId104" display="https://ciminas.mg.gov.br"/>
    <hyperlink ref="J43" r:id="rId105" display="https://fiosaude.org.br/wp-content/uploads/2025/04/tabela_Odontologica_Fiosaude_2025-2026.pdf"/>
    <hyperlink ref="M43" r:id="rId106" display="https://www.gov.br/mme/pt-br/assuntos/orgaos-vinculados/nuclep/plano-de-saude/orientacoes-ao-credenciado/TABELADEPROCEDIMENTOSODONTOLGICOS.pdf"/>
    <hyperlink ref="G44" r:id="rId107" display="https://ciminas.mg.gov.br"/>
    <hyperlink ref="J44" r:id="rId108" display="https://fiosaude.org.br/wp-content/uploads/2025/04/tabela_Odontologica_Fiosaude_2025-2026.pdf"/>
    <hyperlink ref="M44" r:id="rId109" display="https://www.stj.jus.br/sites/portalp/SiteAssets/Paginas/Sob-medida/Publico-interno/Pro-Ser/Informacoes-aos-credenciados/Tabela_Odontologica_PRECOS_2025.pdf"/>
    <hyperlink ref="G45" r:id="rId110" display="https://ciminas.mg.gov.br"/>
    <hyperlink ref="J45" r:id="rId111" display="https://www12.senado.leg.br/institucional/sis/pdfs/tabela-odontologia-v2-nv.pdf"/>
    <hyperlink ref="M45" r:id="rId112" display="https://www.stj.jus.br/sites/portalp/SiteAssets/Paginas/Sob-medida/Publico-interno/Pro-Ser/Informacoes-aos-credenciados/Tabela_Odontologica_PRECOS_2025.pdf"/>
    <hyperlink ref="G46" r:id="rId113" display="https://ciminas.mg.gov.br"/>
    <hyperlink ref="J46" r:id="rId114" display="https://www12.senado.leg.br/institucional/sis/pdfs/tabela-odontologia-v2-nv.pdf"/>
    <hyperlink ref="M46" r:id="rId115" display="https://www.stj.jus.br/sites/portalp/SiteAssets/Paginas/Sob-medida/Publico-interno/Pro-Ser/Informacoes-aos-credenciados/Tabela_Odontologica_PRECOS_2025.pdf"/>
    <hyperlink ref="G47" r:id="rId116" display="https://ciminas.mg.gov.br"/>
    <hyperlink ref="J47" r:id="rId117" display="https://www12.senado.leg.br/institucional/sis/pdfs/tabela-odontologia-v2-nv.pdf"/>
    <hyperlink ref="M47" r:id="rId118" display="https://planassiste.mpu.mp.br/o-plan-assiste/normas/normas-cpmplementares/anexo_v_nc_50.pdf/@@download/file/Anexo_V_NC_50.pdf"/>
    <hyperlink ref="G48" r:id="rId119" display="https://ciminas.mg.gov.br"/>
    <hyperlink ref="J48" r:id="rId120" display="https://www12.senado.leg.br/institucional/sis/pdfs/tabela-odontologia-v2-nv.pdf"/>
    <hyperlink ref="M48" r:id="rId121" display="https://planassiste.mpu.mp.br/o-plan-assiste/normas/normas-cpmplementares/anexo_v_nc_50.pdf/@@download/file/Anexo_V_NC_50.pdf"/>
    <hyperlink ref="G49" r:id="rId122" display="https://ciminas.mg.gov.br"/>
    <hyperlink ref="J49" r:id="rId123" display="https://www12.senado.leg.br/institucional/sis/pdfs/tabela-odontologia-v2-nv.pdf"/>
    <hyperlink ref="M49" r:id="rId124" display="https://planassiste.mpu.mp.br/o-plan-assiste/normas/normas-cpmplementares/anexo_v_nc_50.pdf/@@download/file/Anexo_V_NC_50.pdf"/>
    <hyperlink ref="G50" r:id="rId125" display="https://ciminas.mg.gov.br"/>
    <hyperlink ref="J50" r:id="rId126" display="https://www12.senado.leg.br/institucional/sis/pdfs/tabela-odontologia-v2-nv.pdf"/>
    <hyperlink ref="M50" r:id="rId127" display="https://planassiste.mpu.mp.br/o-plan-assiste/normas/normas-cpmplementares/anexo_v_nc_50.pdf/@@download/file/Anexo_V_NC_50.pdf"/>
    <hyperlink ref="G51" r:id="rId128" display="https://ciminas.mg.gov.br"/>
    <hyperlink ref="J51" r:id="rId129" display="https://www12.senado.leg.br/institucional/sis/pdfs/tabela-odontologia-v2-nv.pdf"/>
    <hyperlink ref="M51" r:id="rId130" display="https://www.bcb.gov.br/content/acessoinformacao/bcsaude_docs/Tabela_Procedimentos_Odontologicos_Edital_Chamamento_26.pdf"/>
    <hyperlink ref="G52" r:id="rId131" display="https://ciminas.mg.gov.br"/>
    <hyperlink ref="J52" r:id="rId132" display="https://www12.senado.leg.br/institucional/sis/pdfs/tabela-odontologia-v2-nv.pdf"/>
    <hyperlink ref="M52" r:id="rId133" display="https://www.bcb.gov.br/content/acessoinformacao/bcsaude_docs/Tabela_Procedimentos_Odontologicos_Edital_Chamamento_26.pdf"/>
    <hyperlink ref="G53" r:id="rId134" display="https://ciminas.mg.gov.br"/>
    <hyperlink ref="J53" r:id="rId135" display="https://www12.senado.leg.br/institucional/sis/pdfs/tabela-odontologia-v2-nv.pdf"/>
    <hyperlink ref="M53" r:id="rId136" display="https://planassiste.mpu.mp.br/o-plan-assiste/normas/normas-cpmplementares/anexo_v_nc_50.pdf/@@download/file/Anexo_V_NC_50.pdf"/>
    <hyperlink ref="G54" r:id="rId137" display="https://ciminas.mg.gov.br"/>
    <hyperlink ref="J54" r:id="rId138" display="https://www12.senado.leg.br/institucional/sis/pdfs/tabela-odontologia-v2-nv.pdf"/>
    <hyperlink ref="M54" r:id="rId139" display="https://fiosaude.org.br/wp-content/uploads/2025/04/tabela_Odontologica_Fiosaude_2025-2026.pdf"/>
    <hyperlink ref="G55" r:id="rId140" display="https://ciminas.mg.gov.br"/>
    <hyperlink ref="J55" r:id="rId141" display="https://www12.senado.leg.br/institucional/sis/pdfs/tabela-odontologia-v2-nv.pdf"/>
    <hyperlink ref="M55" r:id="rId142" display="https://planassiste.mpu.mp.br/o-plan-assiste/normas/normas-cpmplementares/anexo_v_nc_50.pdf/@@download/file/Anexo_V_NC_50.pdf"/>
    <hyperlink ref="G56" r:id="rId143" display="https://ciminas.mg.gov.br"/>
    <hyperlink ref="J56" r:id="rId144" display="https://www12.senado.leg.br/institucional/sis/pdfs/tabela-odontologia-v2-nv.pdf"/>
    <hyperlink ref="M56" r:id="rId145" display="https://planassiste.mpu.mp.br/o-plan-assiste/normas/normas-cpmplementares/anexo_v_nc_50.pdf/@@download/file/Anexo_V_NC_50.pdf"/>
    <hyperlink ref="G57" r:id="rId146" display="https://ciminas.mg.gov.br"/>
    <hyperlink ref="J57" r:id="rId147" display="https://www.gov.br/mme/pt-br/assuntos/orgaos-vinculados/nuclep/plano-de-saude/orientacoes-ao-credenciado/TABELADEPROCEDIMENTOSODONTOLGICOS.pdf"/>
    <hyperlink ref="G59" r:id="rId148" display="https://ciminas.mg.gov.br"/>
    <hyperlink ref="J59" r:id="rId149" display="https://www12.senado.leg.br/institucional/sis/pdfs/tabela-odontologia-v2-nv.pdf"/>
    <hyperlink ref="M59" r:id="rId150" display="https://fiosaude.org.br/wp-content/uploads/2025/04/tabela_Odontologica_Fiosaude_2025-2026.pdf"/>
    <hyperlink ref="G60" r:id="rId151" display="https://ciminas.mg.gov.br"/>
    <hyperlink ref="J60" r:id="rId152" display="https://fiosaude.org.br/wp-content/uploads/2025/04/tabela_Odontologica_Fiosaude_2025-2026.pdf"/>
    <hyperlink ref="M60" r:id="rId153" display="https://www.trf3.jus.br/documentos/ubas/Odontologia/Credenc_pac_espec_vigencia_1_08_07.pdf"/>
    <hyperlink ref="G61" r:id="rId154" display="https://ciminas.mg.gov.br"/>
    <hyperlink ref="G62" r:id="rId155" display="https://ciminas.mg.gov.br"/>
    <hyperlink ref="J62" r:id="rId156" display="https://planassiste.mpu.mp.br/o-plan-assiste/normas/normas-cpmplementares/anexo_v_nc_50.pdf/@@download/file/Anexo_V_NC_50.pdf"/>
    <hyperlink ref="M62" r:id="rId157" display="https://www.tjdft.jus.br/pro-saude/tabelas-proprias-do-pro-saude/tabela-propria-odontologica-ajuste-cynthia.pdf"/>
    <hyperlink ref="G63" r:id="rId158" display="https://ciminas.mg.gov.br"/>
    <hyperlink ref="J63" r:id="rId159" display="https://planassiste.mpu.mp.br/o-plan-assiste/normas/normas-cpmplementares/anexo_v_nc_50.pdf/@@download/file/Anexo_V_NC_50.pdf"/>
    <hyperlink ref="G64" r:id="rId160" display="https://ciminas.mg.gov.br"/>
    <hyperlink ref="J64" r:id="rId161" display="https://planassiste.mpu.mp.br/o-plan-assiste/normas/normas-cpmplementares/anexo_v_nc_50.pdf/@@download/file/Anexo_V_NC_50.pdf"/>
    <hyperlink ref="M64" r:id="rId162" display="https://www.tjdft.jus.br/pro-saude/tabelas-proprias-do-pro-saude/tabela-propria-odontologica-ajuste-cynthia.pdf"/>
    <hyperlink ref="G65" r:id="rId163" display="https://ciminas.mg.gov.br"/>
    <hyperlink ref="J65" r:id="rId164" display="https://www12.senado.leg.br/institucional/sis/pdfs/tabela-odontologia-v2-nv.pdf"/>
    <hyperlink ref="M65" r:id="rId165" display="https://www.tjdft.jus.br/pro-saude/tabelas-proprias-do-pro-saude/tabela-propria-odontologica-ajuste-cynthia.pdf"/>
    <hyperlink ref="G66" r:id="rId166" display="https://ciminas.mg.gov.br"/>
    <hyperlink ref="J66" r:id="rId167" display="https://fiosaude.org.br/wp-content/uploads/2025/04/tabela_Odontologica_Fiosaude_2025-2026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7" t="s">
        <v>237</v>
      </c>
    </row>
    <row r="2" customFormat="false" ht="15" hidden="false" customHeight="false" outlineLevel="0" collapsed="false">
      <c r="A2" s="3" t="s">
        <v>238</v>
      </c>
      <c r="B2" s="3" t="s">
        <v>239</v>
      </c>
      <c r="C2" s="3" t="s">
        <v>240</v>
      </c>
    </row>
    <row r="3" customFormat="false" ht="15" hidden="false" customHeight="false" outlineLevel="0" collapsed="false">
      <c r="A3" s="4" t="n">
        <v>1</v>
      </c>
      <c r="B3" s="4" t="s">
        <v>37</v>
      </c>
      <c r="C3" s="18" t="s">
        <v>38</v>
      </c>
    </row>
    <row r="4" customFormat="false" ht="15" hidden="false" customHeight="false" outlineLevel="0" collapsed="false">
      <c r="A4" s="4" t="n">
        <v>2</v>
      </c>
      <c r="B4" s="4" t="s">
        <v>127</v>
      </c>
      <c r="C4" s="18" t="s">
        <v>40</v>
      </c>
    </row>
    <row r="5" customFormat="false" ht="15" hidden="false" customHeight="false" outlineLevel="0" collapsed="false">
      <c r="A5" s="4" t="n">
        <v>3</v>
      </c>
      <c r="B5" s="4" t="s">
        <v>241</v>
      </c>
      <c r="C5" s="18" t="s">
        <v>42</v>
      </c>
    </row>
    <row r="6" customFormat="false" ht="15" hidden="false" customHeight="false" outlineLevel="0" collapsed="false">
      <c r="A6" s="4" t="n">
        <v>4</v>
      </c>
      <c r="B6" s="4" t="s">
        <v>242</v>
      </c>
      <c r="C6" s="18" t="s">
        <v>48</v>
      </c>
    </row>
    <row r="7" customFormat="false" ht="15" hidden="false" customHeight="false" outlineLevel="0" collapsed="false">
      <c r="A7" s="4" t="n">
        <v>5</v>
      </c>
      <c r="B7" s="4" t="s">
        <v>49</v>
      </c>
      <c r="C7" s="18" t="s">
        <v>50</v>
      </c>
    </row>
    <row r="8" customFormat="false" ht="15" hidden="false" customHeight="false" outlineLevel="0" collapsed="false">
      <c r="A8" s="4" t="n">
        <v>6</v>
      </c>
      <c r="B8" s="4" t="s">
        <v>51</v>
      </c>
      <c r="C8" s="18" t="s">
        <v>52</v>
      </c>
    </row>
    <row r="9" customFormat="false" ht="15" hidden="false" customHeight="false" outlineLevel="0" collapsed="false">
      <c r="A9" s="4" t="n">
        <v>7</v>
      </c>
      <c r="B9" s="4" t="s">
        <v>243</v>
      </c>
      <c r="C9" s="18" t="s">
        <v>55</v>
      </c>
    </row>
    <row r="10" customFormat="false" ht="15" hidden="false" customHeight="false" outlineLevel="0" collapsed="false">
      <c r="A10" s="4" t="n">
        <v>8</v>
      </c>
      <c r="B10" s="4" t="s">
        <v>58</v>
      </c>
      <c r="C10" s="18" t="s">
        <v>59</v>
      </c>
    </row>
    <row r="11" customFormat="false" ht="15" hidden="false" customHeight="false" outlineLevel="0" collapsed="false">
      <c r="A11" s="4" t="n">
        <v>9</v>
      </c>
      <c r="B11" s="4" t="s">
        <v>68</v>
      </c>
      <c r="C11" s="18" t="s">
        <v>69</v>
      </c>
    </row>
    <row r="12" customFormat="false" ht="15" hidden="false" customHeight="false" outlineLevel="0" collapsed="false">
      <c r="A12" s="4" t="n">
        <v>10</v>
      </c>
      <c r="B12" s="4" t="s">
        <v>77</v>
      </c>
      <c r="C12" s="18" t="s">
        <v>78</v>
      </c>
    </row>
    <row r="13" customFormat="false" ht="15" hidden="false" customHeight="false" outlineLevel="0" collapsed="false">
      <c r="A13" s="4" t="n">
        <v>11</v>
      </c>
      <c r="B13" s="4" t="s">
        <v>79</v>
      </c>
      <c r="C13" s="18" t="s">
        <v>80</v>
      </c>
    </row>
    <row r="14" customFormat="false" ht="15" hidden="false" customHeight="false" outlineLevel="0" collapsed="false">
      <c r="A14" s="4" t="n">
        <v>12</v>
      </c>
      <c r="B14" s="4" t="s">
        <v>82</v>
      </c>
      <c r="C14" s="18" t="s">
        <v>83</v>
      </c>
    </row>
    <row r="15" customFormat="false" ht="15" hidden="false" customHeight="false" outlineLevel="0" collapsed="false">
      <c r="A15" s="4" t="n">
        <v>13</v>
      </c>
      <c r="B15" s="4" t="s">
        <v>84</v>
      </c>
      <c r="C15" s="18" t="s">
        <v>85</v>
      </c>
    </row>
    <row r="16" customFormat="false" ht="15" hidden="false" customHeight="false" outlineLevel="0" collapsed="false">
      <c r="A16" s="4" t="n">
        <v>14</v>
      </c>
      <c r="B16" s="4" t="s">
        <v>244</v>
      </c>
      <c r="C16" s="18" t="s">
        <v>89</v>
      </c>
    </row>
    <row r="17" customFormat="false" ht="15" hidden="false" customHeight="false" outlineLevel="0" collapsed="false">
      <c r="A17" s="4" t="n">
        <v>15</v>
      </c>
      <c r="B17" s="4" t="s">
        <v>92</v>
      </c>
      <c r="C17" s="18" t="s">
        <v>93</v>
      </c>
    </row>
    <row r="18" customFormat="false" ht="15" hidden="false" customHeight="false" outlineLevel="0" collapsed="false">
      <c r="A18" s="4" t="n">
        <v>16</v>
      </c>
      <c r="B18" s="4" t="s">
        <v>245</v>
      </c>
      <c r="C18" s="18" t="s">
        <v>95</v>
      </c>
    </row>
    <row r="19" customFormat="false" ht="15" hidden="false" customHeight="false" outlineLevel="0" collapsed="false">
      <c r="A19" s="4" t="n">
        <v>17</v>
      </c>
      <c r="B19" s="4" t="s">
        <v>246</v>
      </c>
      <c r="C19" s="18" t="s">
        <v>99</v>
      </c>
    </row>
    <row r="20" customFormat="false" ht="15" hidden="false" customHeight="false" outlineLevel="0" collapsed="false">
      <c r="A20" s="4" t="n">
        <v>18</v>
      </c>
      <c r="B20" s="4" t="s">
        <v>247</v>
      </c>
      <c r="C20" s="18" t="s">
        <v>101</v>
      </c>
    </row>
    <row r="21" customFormat="false" ht="15" hidden="false" customHeight="false" outlineLevel="0" collapsed="false">
      <c r="A21" s="4" t="n">
        <v>19</v>
      </c>
      <c r="B21" s="4" t="s">
        <v>248</v>
      </c>
      <c r="C21" s="18" t="s">
        <v>104</v>
      </c>
    </row>
    <row r="22" customFormat="false" ht="15" hidden="false" customHeight="false" outlineLevel="0" collapsed="false">
      <c r="A22" s="4" t="n">
        <v>20</v>
      </c>
      <c r="B22" s="4" t="s">
        <v>249</v>
      </c>
      <c r="C22" s="18" t="s">
        <v>108</v>
      </c>
    </row>
    <row r="23" customFormat="false" ht="15" hidden="false" customHeight="false" outlineLevel="0" collapsed="false">
      <c r="A23" s="4" t="n">
        <v>21</v>
      </c>
      <c r="B23" s="4" t="s">
        <v>250</v>
      </c>
      <c r="C23" s="18" t="s">
        <v>113</v>
      </c>
    </row>
    <row r="24" customFormat="false" ht="15" hidden="false" customHeight="false" outlineLevel="0" collapsed="false">
      <c r="A24" s="4" t="n">
        <v>22</v>
      </c>
      <c r="B24" s="4" t="s">
        <v>251</v>
      </c>
      <c r="C24" s="18" t="s">
        <v>118</v>
      </c>
    </row>
    <row r="25" customFormat="false" ht="15" hidden="false" customHeight="false" outlineLevel="0" collapsed="false">
      <c r="A25" s="4" t="n">
        <v>23</v>
      </c>
      <c r="B25" s="4" t="s">
        <v>128</v>
      </c>
      <c r="C25" s="18" t="s">
        <v>129</v>
      </c>
    </row>
    <row r="26" customFormat="false" ht="15" hidden="false" customHeight="false" outlineLevel="0" collapsed="false">
      <c r="A26" s="4" t="n">
        <v>24</v>
      </c>
      <c r="B26" s="4" t="s">
        <v>130</v>
      </c>
      <c r="C26" s="18" t="s">
        <v>131</v>
      </c>
    </row>
    <row r="27" customFormat="false" ht="15" hidden="false" customHeight="false" outlineLevel="0" collapsed="false">
      <c r="A27" s="4" t="n">
        <v>25</v>
      </c>
      <c r="B27" s="4" t="s">
        <v>134</v>
      </c>
      <c r="C27" s="18" t="s">
        <v>135</v>
      </c>
    </row>
    <row r="28" customFormat="false" ht="15" hidden="false" customHeight="false" outlineLevel="0" collapsed="false">
      <c r="A28" s="4" t="n">
        <v>26</v>
      </c>
      <c r="B28" s="4" t="s">
        <v>140</v>
      </c>
      <c r="C28" s="18" t="s">
        <v>141</v>
      </c>
    </row>
    <row r="29" customFormat="false" ht="15" hidden="false" customHeight="false" outlineLevel="0" collapsed="false">
      <c r="A29" s="4" t="n">
        <v>27</v>
      </c>
      <c r="B29" s="4" t="s">
        <v>169</v>
      </c>
      <c r="C29" s="18" t="s">
        <v>146</v>
      </c>
    </row>
    <row r="30" customFormat="false" ht="15" hidden="false" customHeight="false" outlineLevel="0" collapsed="false">
      <c r="A30" s="4" t="n">
        <v>28</v>
      </c>
      <c r="B30" s="4" t="s">
        <v>150</v>
      </c>
      <c r="C30" s="18" t="s">
        <v>151</v>
      </c>
    </row>
    <row r="31" customFormat="false" ht="15" hidden="false" customHeight="false" outlineLevel="0" collapsed="false">
      <c r="A31" s="4" t="n">
        <v>29</v>
      </c>
      <c r="B31" s="4" t="s">
        <v>154</v>
      </c>
      <c r="C31" s="18" t="s">
        <v>155</v>
      </c>
    </row>
    <row r="32" customFormat="false" ht="15" hidden="false" customHeight="false" outlineLevel="0" collapsed="false">
      <c r="A32" s="4" t="n">
        <v>30</v>
      </c>
      <c r="B32" s="4" t="s">
        <v>195</v>
      </c>
      <c r="C32" s="18" t="s">
        <v>192</v>
      </c>
    </row>
    <row r="33" customFormat="false" ht="15" hidden="false" customHeight="false" outlineLevel="0" collapsed="false">
      <c r="A33" s="4" t="n">
        <v>31</v>
      </c>
      <c r="B33" s="4" t="s">
        <v>197</v>
      </c>
      <c r="C33" s="18" t="s">
        <v>198</v>
      </c>
    </row>
    <row r="34" customFormat="false" ht="15" hidden="false" customHeight="false" outlineLevel="0" collapsed="false">
      <c r="A34" s="4" t="n">
        <v>32</v>
      </c>
      <c r="B34" s="4" t="s">
        <v>227</v>
      </c>
      <c r="C34" s="18" t="s">
        <v>228</v>
      </c>
    </row>
  </sheetData>
  <hyperlinks>
    <hyperlink ref="C3" r:id="rId1" display="https://pncp.gov.br/pncp-api/v1/orgaos/71203715000190/compras/2026/1/arquivos/1"/>
    <hyperlink ref="C4" r:id="rId2" display="https://ciminas.mg.gov.br"/>
    <hyperlink ref="C5" r:id="rId3" display="https://icismep.mg.gov.br/wp-content/uploads/2026/02/03.-TSPS-JANEIRO-DE-2026-ATUALIZACAO-II-1.pdf"/>
    <hyperlink ref="C6" r:id="rId4" display="https://saude.es.gov.br/Media/sesa/Credenciamento/EDITAL%20SESA-SRSV-NRA%20001-26.pdf"/>
    <hyperlink ref="C7" r:id="rId5" display="https://www.cisame.mg.gov.br/compliance/tabela-de-precos-e-servicos/"/>
    <hyperlink ref="C8" r:id="rId6" display="https://www.procede.api.br/publica/documentos/PRYXAMTCDSCNU-20260528-145706--!--CREDENCIAMENTO_MEDICOS_EDITAL_2026.pdf"/>
    <hyperlink ref="C9" r:id="rId7" display="https://www.treslagoas.ms.gov.br/prefeitura-de-tres-lagoas-amplia-acesso-a-consultas-especializadas-com-novo-credenciamento-na-saude/"/>
    <hyperlink ref="C10" r:id="rId8" display="https://cisamusep.org.br/uploads/pagina/arquivos/Tabela-Cisamusep-1206.pdf"/>
    <hyperlink ref="C11" r:id="rId9" display="https://www.cispara.mg.gov.br/transparencia/tabela-oficial-de-procedimentos/tabela-oficial-de-procedimentos-2026/543-01-tabela-oficial-de-consultas-procedimentos-e-servicos-janeiro-de-2026/file"/>
    <hyperlink ref="C12" r:id="rId10" display="https://www.sarapui.sp.gov.br/ata-registro-preco/page/1/download/839"/>
    <hyperlink ref="C13" r:id="rId11" display="https://www.cimexpandidasul.com.br/institucional/tabela-de-servicos/562-tabela-atualizada-01-01-2026/file"/>
    <hyperlink ref="C14" r:id="rId12" display="https://quilombo.sc.gov.br/uploads/sites/96/2025/04/5-EDITAL-DE-CREDENCIAMENTO-05-2025-exames-imagem.pdf"/>
    <hyperlink ref="C15" r:id="rId13" display="https://www.cisamusep.org.br/uploads/arquivoChamamento/TABELA-CISAMUSEP-2026.pdf"/>
    <hyperlink ref="C16" r:id="rId14" display="https://lucasdorioverde.mt.gov.br/arquivos//licitacoes/3709/edital.pdf"/>
    <hyperlink ref="C17" r:id="rId15" display="https://inovacapixaba.es.gov.br/media/Editais/Licita%C3%A7%C3%A3o/Preg%C3%A3o/Edital_n%C2%BA_068_2025_2024_T5Q1Z_Servi%C3%A7os_M%C3%A9dicos_de_Ecocardiograma_REPUBL..pdf"/>
    <hyperlink ref="C18" r:id="rId16" display="https://pncp.gov.br/app/editais/05193057000178/2026/124"/>
    <hyperlink ref="C19" r:id="rId17" display="https://pncp.gov.br/pncp-api/v1/orgaos/01603719000180/compras/2025/95/arquivos/1"/>
    <hyperlink ref="C20" r:id="rId18" display="https://www.praiagrande.sp.gov.br/arquivos/ChamadaPublica/46047.pdf"/>
    <hyperlink ref="C21" r:id="rId19" display="https://copirn.org.br/wp-content/uploads/2025/01/TABELA-DE-SERVICOS-DE-SAUDE-COPIRN-2.pdf"/>
    <hyperlink ref="C22" r:id="rId20" display="https://www.vargem.sc.gov.br/uploads/sites/94/2025/03/Edital-FMS-VRG-2025_013_PE_005_90023-Ultrassom.pdf"/>
    <hyperlink ref="C23" r:id="rId21" display="https://ia.mabus.com.br/licitacao/6466406/credenciamento-consorcio-intermunicipal-de-saude-uniao-da-mata-leopoldina-mg"/>
    <hyperlink ref="C24" r:id="rId22" display="https://pncp.gov.br/app/editais/13674817000197/2026/64"/>
    <hyperlink ref="C25" r:id="rId23" display="https://www12.senado.leg.br/institucional/sis/pdfs/tabela-odontologia-v2-nv.pdf"/>
    <hyperlink ref="C26" r:id="rId24" display="https://planassiste.mpu.mp.br/o-plan-assiste/normas/normas-cpmplementares/anexo_v_nc_50.pdf/@@download/file/Anexo_V_NC_50.pdf"/>
    <hyperlink ref="C27" r:id="rId25" display="https://www.gov.br/mme/pt-br/assuntos/orgaos-vinculados/nuclep/plano-de-saude/orientacoes-ao-credenciado/TABELADEPROCEDIMENTOSODONTOLGICOS.pdf"/>
    <hyperlink ref="C28" r:id="rId26" display="https://www.bcb.gov.br/content/acessoinformacao/bcsaude_docs/Tabela_de_Reembolsos_procedimentos_odontologicos_2026.pdf"/>
    <hyperlink ref="C29" r:id="rId27" display="https://www.bcb.gov.br/content/acessoinformacao/bcsaude_docs/Tabela_Procedimentos_Odontologicos_Edital_Chamamento_26.pdf"/>
    <hyperlink ref="C30" r:id="rId28" display="https://fiosaude.org.br/wp-content/uploads/2025/04/tabela_Odontologica_Fiosaude_2025-2026.pdf"/>
    <hyperlink ref="C31" r:id="rId29" display="https://www.stj.jus.br/sites/portalp/SiteAssets/Paginas/Sob-medida/Publico-interno/Pro-Ser/Informacoes-aos-credenciados/Tabela_Odontologica_PRECOS_2025.pdf"/>
    <hyperlink ref="C32" r:id="rId30" display="https://www.consud.org/uploads/pagina/arquivos/RESOLUCAO-034-2025-TABELA-DE-PROTESE-ODONTOLOGICA-docx-2.pdf"/>
    <hyperlink ref="C33" r:id="rId31" display="https://www.tjdft.jus.br/pro-saude/tabelas-proprias-do-pro-saude/tabela-propria-odontologica-ajuste-cynthia.pdf"/>
    <hyperlink ref="C34" r:id="rId32" display="https://www.trf3.jus.br/documentos/ubas/Odontologia/Credenc_pac_espec_vigencia_1_08_07.pd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2026-10-07T00:21:11Z</dcterms:created>
  <dc:creator>openpyxl</dc:creator>
  <dc:description/>
  <dc:language>en-US</dc:language>
  <cp:lastModifiedBy/>
  <dcterms:modified xsi:type="dcterms:W3CDTF">2026-10-07T00:21:11Z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